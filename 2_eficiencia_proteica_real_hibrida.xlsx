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Sheet1!$A$1:$X$220</definedName>
  </definedNames>
  <calcPr/>
  <extLst>
    <ext uri="GoogleSheetsCustomDataVersion2">
      <go:sheetsCustomData xmlns:go="http://customooxmlschemas.google.com/" r:id="rId5" roundtripDataChecksum="6tyTdCPExRGVs1uTxtFeMCurL8xqcMDng2jK2ojJKFE="/>
    </ext>
  </extLst>
</workbook>
</file>

<file path=xl/sharedStrings.xml><?xml version="1.0" encoding="utf-8"?>
<sst xmlns="http://schemas.openxmlformats.org/spreadsheetml/2006/main" count="684" uniqueCount="325">
  <si>
    <t>Produto_PT</t>
  </si>
  <si>
    <t>Match_Final_WFN</t>
  </si>
  <si>
    <t>Score_Confianca</t>
  </si>
  <si>
    <t>Categoria_Alimento</t>
  </si>
  <si>
    <t>Proteina_g</t>
  </si>
  <si>
    <t>DIAAS</t>
  </si>
  <si>
    <t>Proteina_Digestivel_g</t>
  </si>
  <si>
    <t>Agua_Verde</t>
  </si>
  <si>
    <t>Agua_Azul</t>
  </si>
  <si>
    <t>Agua_Cinza</t>
  </si>
  <si>
    <t>Agua_Total_m3_t</t>
  </si>
  <si>
    <t>Eficiencia_Bruta_g_m3</t>
  </si>
  <si>
    <t>Eficiencia_Real_g_m3</t>
  </si>
  <si>
    <t>Ef_Verde</t>
  </si>
  <si>
    <t>Ef_Azul</t>
  </si>
  <si>
    <t>Ef_Cinza</t>
  </si>
  <si>
    <t>Ef_Real_Verde</t>
  </si>
  <si>
    <t>Ef_Real_Azul</t>
  </si>
  <si>
    <t>Ef_Real_Cinza</t>
  </si>
  <si>
    <t>%_Agua_Verde</t>
  </si>
  <si>
    <t>%_Agua_Azul</t>
  </si>
  <si>
    <t>%_Agua_Cinza</t>
  </si>
  <si>
    <t>m3_por_g_proteina</t>
  </si>
  <si>
    <t>m3_por_g_proteina_digestivel</t>
  </si>
  <si>
    <t>Barreado</t>
  </si>
  <si>
    <t>Sugar cane</t>
  </si>
  <si>
    <t>Carnes</t>
  </si>
  <si>
    <t>Hambúrguer, bovino, frito</t>
  </si>
  <si>
    <t>Potatoes</t>
  </si>
  <si>
    <t>Salame</t>
  </si>
  <si>
    <t>Papayas</t>
  </si>
  <si>
    <t>Capuccino, pó</t>
  </si>
  <si>
    <t>Peppermint</t>
  </si>
  <si>
    <t>Laticinios</t>
  </si>
  <si>
    <t>Camarão, Rio Grande, grande, cru</t>
  </si>
  <si>
    <t>Brazil nuts, with shell</t>
  </si>
  <si>
    <t>Pescados</t>
  </si>
  <si>
    <t>Maniçoba</t>
  </si>
  <si>
    <t>Croquete, de carne, frito</t>
  </si>
  <si>
    <t>Gooseberries</t>
  </si>
  <si>
    <t>Chocolate, ao leite, com castanha do Pará</t>
  </si>
  <si>
    <t>Quibe, assado</t>
  </si>
  <si>
    <t>Kiwi fruit</t>
  </si>
  <si>
    <t>Castanha-do-Brasil, crua</t>
  </si>
  <si>
    <t>Nozes_e_Sementes</t>
  </si>
  <si>
    <t>Charuto, de repolho</t>
  </si>
  <si>
    <t>Cabbages and other brassicas</t>
  </si>
  <si>
    <t>Quibe, cru</t>
  </si>
  <si>
    <t>Feijão, roxo, cru</t>
  </si>
  <si>
    <t>Beans, green</t>
  </si>
  <si>
    <t>Feijoes_e_Lentilhas</t>
  </si>
  <si>
    <t>Feijão, preto, cru</t>
  </si>
  <si>
    <t>Feijão, rosinha, cru</t>
  </si>
  <si>
    <t>Feijão, fradinho, cru</t>
  </si>
  <si>
    <t>Dobradinha</t>
  </si>
  <si>
    <t>Triticale</t>
  </si>
  <si>
    <t>Feijão tropeiro mineiro</t>
  </si>
  <si>
    <t>Feijoes_e_lentilhas</t>
  </si>
  <si>
    <t>Feijão, rajado, cru</t>
  </si>
  <si>
    <t>Soja, farinha</t>
  </si>
  <si>
    <t>Soybeans</t>
  </si>
  <si>
    <t>Soja</t>
  </si>
  <si>
    <t>Soja, extrato solúvel, pó</t>
  </si>
  <si>
    <t>Cação, posta, com farinha de trigo, frita</t>
  </si>
  <si>
    <t>Wheat</t>
  </si>
  <si>
    <t>Leite, de vaca, integral, pó</t>
  </si>
  <si>
    <t>Milk and cream not concentrated and unsweetened exceeding 6% fat</t>
  </si>
  <si>
    <t>Tacacá</t>
  </si>
  <si>
    <t>Cassava</t>
  </si>
  <si>
    <t>Macarrão, instantâneo</t>
  </si>
  <si>
    <t>Onions, dry</t>
  </si>
  <si>
    <t>Trigo</t>
  </si>
  <si>
    <t>Tremoço, cru</t>
  </si>
  <si>
    <t>Lupins</t>
  </si>
  <si>
    <t>Ervilha, em vagem</t>
  </si>
  <si>
    <t>Peas, green</t>
  </si>
  <si>
    <t>Ervilha</t>
  </si>
  <si>
    <t>Yakisoba</t>
  </si>
  <si>
    <t>Yams</t>
  </si>
  <si>
    <t>Amendoim, grão, cru</t>
  </si>
  <si>
    <t>Mixed grain</t>
  </si>
  <si>
    <t>Amendoim</t>
  </si>
  <si>
    <t>Cação, posta, cozida</t>
  </si>
  <si>
    <t>Eggs, bird, in shell, fresh, preserved or cooked</t>
  </si>
  <si>
    <t>Leite, de vaca, desnatado, pó</t>
  </si>
  <si>
    <t>Milk powder not exceeding 1.5% fat</t>
  </si>
  <si>
    <t>Fermento, biológico, levedura, tablete</t>
  </si>
  <si>
    <t>Sugar crops, nes</t>
  </si>
  <si>
    <t>Aveia_e_Cereais</t>
  </si>
  <si>
    <t>Queijo, parmesão</t>
  </si>
  <si>
    <t>Cheese nes</t>
  </si>
  <si>
    <t>Arroz carreteiro</t>
  </si>
  <si>
    <t>Rice, paddy</t>
  </si>
  <si>
    <t>Porco, lombo, assado</t>
  </si>
  <si>
    <t>Hams, shoulders and cuts thereof, of swine bone in, fresh or chilled</t>
  </si>
  <si>
    <t>Quibebe</t>
  </si>
  <si>
    <t>Milho</t>
  </si>
  <si>
    <t>Peru, congelado, assado</t>
  </si>
  <si>
    <t>Turkey meat and meat offal prepared or preserved, excluding livers</t>
  </si>
  <si>
    <t>Aves</t>
  </si>
  <si>
    <t>Feijão, jalo, cru</t>
  </si>
  <si>
    <t>Broad beans, horse beans, dry</t>
  </si>
  <si>
    <t>Alho, cru</t>
  </si>
  <si>
    <t>Garlic</t>
  </si>
  <si>
    <t>Porco, bisteca, frita</t>
  </si>
  <si>
    <t>Feijão, carioca, cru</t>
  </si>
  <si>
    <t>Camarão, Rio Grande, grande, cozido</t>
  </si>
  <si>
    <t>Porco, pernil, assado</t>
  </si>
  <si>
    <t>Porco, costela, assada</t>
  </si>
  <si>
    <t>Porco, bisteca, grelhada</t>
  </si>
  <si>
    <t>Toucinho, frito</t>
  </si>
  <si>
    <t>Butter</t>
  </si>
  <si>
    <t>Ovo, de galinha, gema, cozida/10minutos</t>
  </si>
  <si>
    <t>Ovos</t>
  </si>
  <si>
    <t>Ovo, de galinha, inteiro, frito</t>
  </si>
  <si>
    <t>Pão, de soja</t>
  </si>
  <si>
    <t>Queijo, prato</t>
  </si>
  <si>
    <t>Queijo, mozarela</t>
  </si>
  <si>
    <t>Ovo, de codorna, inteiro, cru</t>
  </si>
  <si>
    <t>Queijo, minas, meia cura</t>
  </si>
  <si>
    <t>Peru, congelado, cru</t>
  </si>
  <si>
    <t>Ovo, de galinha, clara, cozida/10minutos</t>
  </si>
  <si>
    <t>Lingüiça, porco, grelhada</t>
  </si>
  <si>
    <t>Ovo, de galinha, inteiro, cozido/10minutos</t>
  </si>
  <si>
    <t>Leite, condensado</t>
  </si>
  <si>
    <t>Milk and cream nes sweetened</t>
  </si>
  <si>
    <t>Ovo, de galinha, inteiro, cru</t>
  </si>
  <si>
    <t>Porco, lombo, cru</t>
  </si>
  <si>
    <t>Grão-de-bico, cru</t>
  </si>
  <si>
    <t>Chick peas</t>
  </si>
  <si>
    <t>Grao-de-bico</t>
  </si>
  <si>
    <t>Chocolate, ao leite</t>
  </si>
  <si>
    <t>Camarão, Sete Barbas, sem cabeça, com casca, frito</t>
  </si>
  <si>
    <t>Eggs, bird, not in shell, dried</t>
  </si>
  <si>
    <t>Porco, bisteca, crua</t>
  </si>
  <si>
    <t>Apresuntado</t>
  </si>
  <si>
    <t>Hempseed</t>
  </si>
  <si>
    <t>Farinha, de centeio, integral</t>
  </si>
  <si>
    <t>Rye</t>
  </si>
  <si>
    <t>Chocolate, ao leite, dietético</t>
  </si>
  <si>
    <t>Lingüiça, porco, frita</t>
  </si>
  <si>
    <t>Tremoço, em conserva</t>
  </si>
  <si>
    <t>Porco, pernil, cru</t>
  </si>
  <si>
    <t>Aveia, flocos, crua</t>
  </si>
  <si>
    <t>Oats</t>
  </si>
  <si>
    <t>Queijo, minas, frescal</t>
  </si>
  <si>
    <t>Porco, orelha, salgada, crua</t>
  </si>
  <si>
    <t>Porco, costela, crua</t>
  </si>
  <si>
    <t>Pão, aveia, forma</t>
  </si>
  <si>
    <t>Omelete, de queijo</t>
  </si>
  <si>
    <t>Torrada, pão francês</t>
  </si>
  <si>
    <t>Pão, glúten, forma</t>
  </si>
  <si>
    <t>Farinha, láctea, de cereais</t>
  </si>
  <si>
    <t>Bolinho de arroz</t>
  </si>
  <si>
    <t>Arroz</t>
  </si>
  <si>
    <t>Lingüiça, porco, crua</t>
  </si>
  <si>
    <t>Pescadinha, crua</t>
  </si>
  <si>
    <t>Goat meat, fresh, chilled or frozen</t>
  </si>
  <si>
    <t>Farinha, de rosca</t>
  </si>
  <si>
    <t>Porco, rabo, salgado, cru</t>
  </si>
  <si>
    <t>Sarapatel</t>
  </si>
  <si>
    <t>Sisal</t>
  </si>
  <si>
    <t>Cação, posta, crua</t>
  </si>
  <si>
    <t>Bovine hides, raw, nes</t>
  </si>
  <si>
    <t>Arroz, integral, cru</t>
  </si>
  <si>
    <t>Arroz, tipo 2, cru</t>
  </si>
  <si>
    <t>Arroz, tipo 1, cru</t>
  </si>
  <si>
    <t>Guandu, cru</t>
  </si>
  <si>
    <t>Ramie</t>
  </si>
  <si>
    <t>Pão, milho, forma</t>
  </si>
  <si>
    <t>Maize</t>
  </si>
  <si>
    <t>Queijo, ricota</t>
  </si>
  <si>
    <t>Creme de arroz, pó</t>
  </si>
  <si>
    <t>Macarrão, trigo, cru</t>
  </si>
  <si>
    <t>Camarão à baiana</t>
  </si>
  <si>
    <t>Bambara beans</t>
  </si>
  <si>
    <t>Farinha, de trigo</t>
  </si>
  <si>
    <t>Lentilha, crua</t>
  </si>
  <si>
    <t>Lentils</t>
  </si>
  <si>
    <t>Carne, bovina, charque, cozido</t>
  </si>
  <si>
    <t>Bovine cuts boneless, fresh or chilled</t>
  </si>
  <si>
    <t>Carne, bovina, patinho, sem gordura, grelhado</t>
  </si>
  <si>
    <t>Carne, bovina, contra-filé, sem gordura, grelhado</t>
  </si>
  <si>
    <t>Pão, trigo, forma, integral</t>
  </si>
  <si>
    <t>Presunto, com capa de gordura</t>
  </si>
  <si>
    <t>Swine meat cured, nes</t>
  </si>
  <si>
    <t>Presunto, sem capa de gordura</t>
  </si>
  <si>
    <t>Carne, bovina, capa de contra-filé, sem gordura, grelhada</t>
  </si>
  <si>
    <t>Estrogonofe de carne</t>
  </si>
  <si>
    <t>Cereais, milho, flocos, com sal</t>
  </si>
  <si>
    <t>Cereais, mistura para vitamina, trigo, cevada e aveia</t>
  </si>
  <si>
    <t>Milho, fubá, cru</t>
  </si>
  <si>
    <t>Farinha, de milho, amarela</t>
  </si>
  <si>
    <t>Cereal matinal, milho</t>
  </si>
  <si>
    <t>Carne, bovina, lagarto, cozido</t>
  </si>
  <si>
    <t>Carne, bovina, filé mingnon, sem gordura, grelhado</t>
  </si>
  <si>
    <t>Carne, bovina, contra-filé, com gordura, grelhado</t>
  </si>
  <si>
    <t>Carne, bovina, coxão mole, sem gordura, cozido</t>
  </si>
  <si>
    <t>Cereais, milho, flocos, sem sal</t>
  </si>
  <si>
    <t>Toucinho, cru</t>
  </si>
  <si>
    <t>Carne, bovina, miolo de alcatra, sem gordura, grelhado</t>
  </si>
  <si>
    <t>Carne, bovina, picanha, sem gordura, grelhada</t>
  </si>
  <si>
    <t>Pão, trigo, sovado</t>
  </si>
  <si>
    <t>Carne, bovina, coxão duro, sem gordura, cozido</t>
  </si>
  <si>
    <t>Carne, bovina, músculo, sem gordura, cozido</t>
  </si>
  <si>
    <t>Milho, verde, cru</t>
  </si>
  <si>
    <t>Carne, bovina, maminha, grelhada</t>
  </si>
  <si>
    <t>Carne, bovina, capa de contra-filé, com gordura, grelhada</t>
  </si>
  <si>
    <t>Pão, trigo, francês</t>
  </si>
  <si>
    <t>Cereais, mingau, milho, infantil</t>
  </si>
  <si>
    <t>Carne, bovina, contra-filé de costela, grelhado</t>
  </si>
  <si>
    <t>Carne, bovina, fígado, grelhado</t>
  </si>
  <si>
    <t>Hambúrguer, bovino, cru</t>
  </si>
  <si>
    <t>Carne, bovina, paleta, sem gordura, cozida</t>
  </si>
  <si>
    <t>Carne, bovina, flanco, sem gordura, cozido</t>
  </si>
  <si>
    <t>Queijo, requeijão, cremoso</t>
  </si>
  <si>
    <t>Carne, bovina, costela, assada</t>
  </si>
  <si>
    <t>Baião de dois, arroz e feijão-de-corda</t>
  </si>
  <si>
    <t>Carne, bovina, cupim, assado</t>
  </si>
  <si>
    <t>Queijo, pasteurizado</t>
  </si>
  <si>
    <t>Bolo, pronto, chocolate</t>
  </si>
  <si>
    <t>Milk and cream unsweetened, nes</t>
  </si>
  <si>
    <t>Croquete, de carne, cru</t>
  </si>
  <si>
    <t>Bovine skins, whole, raw</t>
  </si>
  <si>
    <t>Carne, bovina, acém, sem gordura, cozido</t>
  </si>
  <si>
    <t>Gelatina, sabores variados, pó</t>
  </si>
  <si>
    <t>Cheese, grated or powdered, of all kinds</t>
  </si>
  <si>
    <t>Carne, bovina, seca, cozida</t>
  </si>
  <si>
    <t>Carne, bovina, acém, moído, cozido</t>
  </si>
  <si>
    <t>Carne, bovina, picanha, com gordura, grelhada</t>
  </si>
  <si>
    <t>Pipoca, com óleo de soja, sem sal</t>
  </si>
  <si>
    <t>Bolo, mistura para</t>
  </si>
  <si>
    <t>Carne, bovina, fraldinha, com gordura, cozida</t>
  </si>
  <si>
    <t>Carne, bovina, contra-filé, sem gordura, cru</t>
  </si>
  <si>
    <t>Biscoito, doce, recheado com chocolate</t>
  </si>
  <si>
    <t>Carne, bovina, charque, cru</t>
  </si>
  <si>
    <t>Carne, bovina, peito, sem gordura, cozido</t>
  </si>
  <si>
    <t>Macarrão, trigo, cru, com ovos</t>
  </si>
  <si>
    <t>Noz, crua</t>
  </si>
  <si>
    <t>Walnuts, with shell</t>
  </si>
  <si>
    <t>Carne, bovina, patinho, sem gordura, cru</t>
  </si>
  <si>
    <t>Carne, bovina, bucho, cozido</t>
  </si>
  <si>
    <t>Carne, bovina, miolo de alcatra, sem gordura, cru</t>
  </si>
  <si>
    <t>Carne, bovina, filé mingnon, sem gordura, cru</t>
  </si>
  <si>
    <t>Carne, bovina, músculo, sem gordura, cru</t>
  </si>
  <si>
    <t>Carne, bovina, capa de contra-filé, sem gordura, crua</t>
  </si>
  <si>
    <t>Carne, bovina, coxão duro, sem gordura, cru</t>
  </si>
  <si>
    <t>Carne, bovina, paleta, com gordura, crua</t>
  </si>
  <si>
    <t>Carne, bovina, língua, cozida</t>
  </si>
  <si>
    <t>Carne, bovina, picanha, sem gordura, crua</t>
  </si>
  <si>
    <t>Carne, bovina, coxão mole, sem gordura, cru</t>
  </si>
  <si>
    <t>Carne, bovina, contra-filé, com gordura, cru</t>
  </si>
  <si>
    <t>Carne, bovina, paleta, sem gordura, crua</t>
  </si>
  <si>
    <t>Carne, bovina, maminha, crua</t>
  </si>
  <si>
    <t>Carne, bovina, acém, sem gordura, cru</t>
  </si>
  <si>
    <t>Carne, bovina, fígado, cru</t>
  </si>
  <si>
    <t>Carne, bovina, contra-filé, à milanesa</t>
  </si>
  <si>
    <t>Carne, bovina, lagarto, cru</t>
  </si>
  <si>
    <t>Carne, bovina, bucho, cru</t>
  </si>
  <si>
    <t>Carne, bovina, flanco, sem gordura, cru</t>
  </si>
  <si>
    <t>Carne, bovina, contra-filé de costela, cru</t>
  </si>
  <si>
    <t>Acarajé</t>
  </si>
  <si>
    <t>Carne, bovina, seca, crua</t>
  </si>
  <si>
    <t>Carne, bovina, cupim, cru</t>
  </si>
  <si>
    <t>Coentro, folhas desidratadas</t>
  </si>
  <si>
    <t>Anise, badian, fennel, corian.</t>
  </si>
  <si>
    <t>Carne, bovina, acém, moído, cru</t>
  </si>
  <si>
    <t>Caldo de carne, tablete</t>
  </si>
  <si>
    <t>Carne, bovina, capa de contra-filé, com gordura, crua</t>
  </si>
  <si>
    <t>Carne, bovina, picanha, com gordura, crua</t>
  </si>
  <si>
    <t>Hambúrguer, bovino, grelhado</t>
  </si>
  <si>
    <t>Bovine carcasses and half carcasses, fresh or chilled</t>
  </si>
  <si>
    <t>Pé-de-moleque, amendoim</t>
  </si>
  <si>
    <t>Carne, bovina, almôndegas, fritas</t>
  </si>
  <si>
    <t>Soja, queijo (tofu)</t>
  </si>
  <si>
    <t>Amêndoa, torrada, salgada</t>
  </si>
  <si>
    <t>Almonds, with shell</t>
  </si>
  <si>
    <t>Carne, bovina, fraldinha, com gordura, crua</t>
  </si>
  <si>
    <t>Carne, bovina, peito, sem gordura, cru</t>
  </si>
  <si>
    <t>Gergelim, semente</t>
  </si>
  <si>
    <t>Sesame seed</t>
  </si>
  <si>
    <t>Pastel, de carne, cru</t>
  </si>
  <si>
    <t>Carne, bovina, língua, crua</t>
  </si>
  <si>
    <t>Carne, bovina, costela, crua</t>
  </si>
  <si>
    <t>Amendoim, torrado, salgado</t>
  </si>
  <si>
    <t>Nuts, nes</t>
  </si>
  <si>
    <t>Caldo de galinha, tablete</t>
  </si>
  <si>
    <t>Lasanha, massa fresca, crua</t>
  </si>
  <si>
    <t>Cheese, fresh (including whey cheese) unfermented, and curd</t>
  </si>
  <si>
    <t>Pastel, de queijo, cru</t>
  </si>
  <si>
    <t>Paçoca, amendoim</t>
  </si>
  <si>
    <t>Carne, bovina, almôndegas, cruas</t>
  </si>
  <si>
    <t>Pastel, de queijo, frito</t>
  </si>
  <si>
    <t>Mortadela</t>
  </si>
  <si>
    <t>Cinnamon (canella)</t>
  </si>
  <si>
    <t>Linhaça, semente</t>
  </si>
  <si>
    <t>Biscoito, salgado, cream cracker</t>
  </si>
  <si>
    <t>Bellies, streaky and cuts thereof, swine cured</t>
  </si>
  <si>
    <t>Feijão, jalo, cozido</t>
  </si>
  <si>
    <t>Beans, dry</t>
  </si>
  <si>
    <t>Castanha-de-caju, torrada, salgada</t>
  </si>
  <si>
    <t>Cashew nuts</t>
  </si>
  <si>
    <t>Lentilha, cozida</t>
  </si>
  <si>
    <t>Quibe, frito</t>
  </si>
  <si>
    <t>Kolanuts</t>
  </si>
  <si>
    <t>L</t>
  </si>
  <si>
    <t>nan</t>
  </si>
  <si>
    <t>Salmão, sem pele, fresco, grelhado</t>
  </si>
  <si>
    <t>Horse, ass, mule or hinny meat, fresh, chilled or frozen</t>
  </si>
  <si>
    <t>Pastel, massa, frita</t>
  </si>
  <si>
    <t>Café, pó, torrado</t>
  </si>
  <si>
    <t>Coffee, green</t>
  </si>
  <si>
    <t>Salmão, filé, com pele, fresco,  grelhado</t>
  </si>
  <si>
    <t>Bife à cavalo, com contra filé</t>
  </si>
  <si>
    <t>Canjica, branca, crua</t>
  </si>
  <si>
    <t>Pastel, massa, crua</t>
  </si>
  <si>
    <t>Salmão, sem pele, fresco, cru</t>
  </si>
  <si>
    <t>Tucunaré, filé, congelado, cru</t>
  </si>
  <si>
    <t>Virado à paulista</t>
  </si>
  <si>
    <t>Cocoa beans</t>
  </si>
  <si>
    <t>Biscoito, doce, maisena</t>
  </si>
  <si>
    <t>Pastel, de carne, frito</t>
  </si>
  <si>
    <t>Errado</t>
  </si>
  <si>
    <t>Faz sentido, mas pode melhorar.</t>
  </si>
  <si>
    <t>Está incompleto.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</si>
</sst>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  <xf borderId="0" fillId="4" fontId="2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86"/>
    <col customWidth="1" min="2" max="2" width="49.29"/>
    <col customWidth="1" min="3" max="3" width="15.57"/>
    <col customWidth="1" min="4" max="4" width="18.43"/>
    <col customWidth="1" min="5" max="5" width="12.29"/>
    <col customWidth="1" min="6" max="6" width="8.71"/>
    <col customWidth="1" min="7" max="7" width="20.0"/>
    <col customWidth="1" min="8" max="8" width="12.29"/>
    <col customWidth="1" min="9" max="9" width="13.29"/>
    <col customWidth="1" min="10" max="10" width="12.29"/>
    <col customWidth="1" min="11" max="11" width="16.43"/>
    <col customWidth="1" min="12" max="12" width="21.0"/>
    <col customWidth="1" min="13" max="13" width="19.86"/>
    <col customWidth="1" min="14" max="14" width="13.29"/>
    <col customWidth="1" min="15" max="16" width="15.43"/>
    <col customWidth="1" min="17" max="17" width="17.57"/>
    <col customWidth="1" min="18" max="19" width="15.43"/>
    <col customWidth="1" min="20" max="20" width="14.29"/>
    <col customWidth="1" min="21" max="21" width="13.29"/>
    <col customWidth="1" min="22" max="22" width="14.43"/>
    <col customWidth="1" min="23" max="23" width="18.43"/>
    <col customWidth="1" min="24" max="24" width="27.71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</row>
    <row r="2">
      <c r="A2" s="3" t="s">
        <v>24</v>
      </c>
      <c r="B2" s="3" t="s">
        <v>25</v>
      </c>
      <c r="C2" s="3">
        <v>39.17</v>
      </c>
      <c r="D2" s="3" t="s">
        <v>26</v>
      </c>
      <c r="E2" s="3">
        <v>18.26875</v>
      </c>
      <c r="F2" s="3">
        <v>100.0</v>
      </c>
      <c r="G2" s="3">
        <f t="shared" ref="G2:G220" si="2">(E2*F2)/100</f>
        <v>18.26875</v>
      </c>
      <c r="H2" s="3">
        <v>139.268369194116</v>
      </c>
      <c r="I2" s="3">
        <v>57.2365929666236</v>
      </c>
      <c r="J2" s="3">
        <v>13.083358609924</v>
      </c>
      <c r="K2" s="3">
        <v>209.5883207706636</v>
      </c>
      <c r="L2" s="3">
        <f t="shared" ref="L2:L220" si="3">E2/K2</f>
        <v>0.08716492376</v>
      </c>
      <c r="M2" s="3">
        <f t="shared" ref="M2:M220" si="4">G2/K2</f>
        <v>0.08716492376</v>
      </c>
      <c r="N2" s="3">
        <f t="shared" ref="N2:N220" si="5">E2/H2</f>
        <v>0.1311765917</v>
      </c>
      <c r="O2" s="3">
        <f t="shared" ref="O2:O220" si="6">E2/I2</f>
        <v>0.3191795502</v>
      </c>
      <c r="P2" s="3">
        <f t="shared" ref="P2:P220" si="7">E2/J2</f>
        <v>1.396334882</v>
      </c>
      <c r="Q2" s="3">
        <f t="shared" ref="Q2:Q220" si="8">G2/H2</f>
        <v>0.1311765917</v>
      </c>
      <c r="R2" s="3">
        <f t="shared" ref="R2:R220" si="9">G2/I2</f>
        <v>0.3191795502</v>
      </c>
      <c r="S2" s="3">
        <f t="shared" ref="S2:T2" si="1">G2/J2</f>
        <v>1.396334882</v>
      </c>
      <c r="T2" s="3">
        <f t="shared" si="1"/>
        <v>0.6644853524</v>
      </c>
      <c r="U2" s="3">
        <f t="shared" ref="U2:U220" si="11">I2/K2</f>
        <v>0.2730905651</v>
      </c>
      <c r="V2" s="3">
        <f t="shared" ref="V2:V220" si="12">J2/K2</f>
        <v>0.06242408242</v>
      </c>
      <c r="W2" s="3">
        <f t="shared" ref="W2:W220" si="13">K2/E2</f>
        <v>11.47250473</v>
      </c>
      <c r="X2" s="3">
        <f t="shared" ref="X2:X220" si="14">K2/G2</f>
        <v>11.47250473</v>
      </c>
      <c r="Y2" s="3"/>
      <c r="Z2" s="3"/>
    </row>
    <row r="3">
      <c r="A3" s="3" t="s">
        <v>27</v>
      </c>
      <c r="B3" s="3" t="s">
        <v>28</v>
      </c>
      <c r="C3" s="3">
        <v>42.81</v>
      </c>
      <c r="D3" s="3" t="s">
        <v>26</v>
      </c>
      <c r="E3" s="3">
        <v>19.9729166666667</v>
      </c>
      <c r="F3" s="3">
        <v>100.0</v>
      </c>
      <c r="G3" s="3">
        <f t="shared" si="2"/>
        <v>19.97291667</v>
      </c>
      <c r="H3" s="3">
        <v>190.918057427309</v>
      </c>
      <c r="I3" s="3">
        <v>32.9429715158364</v>
      </c>
      <c r="J3" s="3">
        <v>63.3275059515362</v>
      </c>
      <c r="K3" s="3">
        <v>287.1885348946816</v>
      </c>
      <c r="L3" s="3">
        <f t="shared" si="3"/>
        <v>0.06954635802</v>
      </c>
      <c r="M3" s="3">
        <f t="shared" si="4"/>
        <v>0.06954635802</v>
      </c>
      <c r="N3" s="3">
        <f t="shared" si="5"/>
        <v>0.1046151262</v>
      </c>
      <c r="O3" s="3">
        <f t="shared" si="6"/>
        <v>0.6062876464</v>
      </c>
      <c r="P3" s="3">
        <f t="shared" si="7"/>
        <v>0.3153908616</v>
      </c>
      <c r="Q3" s="3">
        <f t="shared" si="8"/>
        <v>0.1046151262</v>
      </c>
      <c r="R3" s="3">
        <f t="shared" si="9"/>
        <v>0.6062876464</v>
      </c>
      <c r="S3" s="3">
        <f t="shared" ref="S3:T3" si="10">G3/J3</f>
        <v>0.3153908616</v>
      </c>
      <c r="T3" s="3">
        <f t="shared" si="10"/>
        <v>0.6647830057</v>
      </c>
      <c r="U3" s="3">
        <f t="shared" si="11"/>
        <v>0.114708519</v>
      </c>
      <c r="V3" s="3">
        <f t="shared" si="12"/>
        <v>0.2205084753</v>
      </c>
      <c r="W3" s="3">
        <f t="shared" si="13"/>
        <v>14.37889817</v>
      </c>
      <c r="X3" s="3">
        <f t="shared" si="14"/>
        <v>14.37889817</v>
      </c>
      <c r="Y3" s="3"/>
      <c r="Z3" s="3"/>
    </row>
    <row r="4">
      <c r="A4" s="3" t="s">
        <v>29</v>
      </c>
      <c r="B4" s="3" t="s">
        <v>30</v>
      </c>
      <c r="C4" s="3">
        <v>45.14</v>
      </c>
      <c r="D4" s="3" t="s">
        <v>26</v>
      </c>
      <c r="E4" s="3">
        <v>25.8104166666667</v>
      </c>
      <c r="F4" s="3">
        <v>100.0</v>
      </c>
      <c r="G4" s="3">
        <f t="shared" si="2"/>
        <v>25.81041667</v>
      </c>
      <c r="H4" s="3">
        <v>399.070334001545</v>
      </c>
      <c r="I4" s="3">
        <v>39.5024853588754</v>
      </c>
      <c r="J4" s="3">
        <v>21.015162298926</v>
      </c>
      <c r="K4" s="3">
        <v>459.5879816593464</v>
      </c>
      <c r="L4" s="3">
        <f t="shared" si="3"/>
        <v>0.05615990343</v>
      </c>
      <c r="M4" s="3">
        <f t="shared" si="4"/>
        <v>0.05615990343</v>
      </c>
      <c r="N4" s="3">
        <f t="shared" si="5"/>
        <v>0.0646763602</v>
      </c>
      <c r="O4" s="3">
        <f t="shared" si="6"/>
        <v>0.6533871586</v>
      </c>
      <c r="P4" s="3">
        <f t="shared" si="7"/>
        <v>1.228180696</v>
      </c>
      <c r="Q4" s="3">
        <f t="shared" si="8"/>
        <v>0.0646763602</v>
      </c>
      <c r="R4" s="3">
        <f t="shared" si="9"/>
        <v>0.6533871586</v>
      </c>
      <c r="S4" s="3">
        <f t="shared" ref="S4:T4" si="15">G4/J4</f>
        <v>1.228180696</v>
      </c>
      <c r="T4" s="3">
        <f t="shared" si="15"/>
        <v>0.8683219534</v>
      </c>
      <c r="U4" s="3">
        <f t="shared" si="11"/>
        <v>0.08595195465</v>
      </c>
      <c r="V4" s="3">
        <f t="shared" si="12"/>
        <v>0.04572609193</v>
      </c>
      <c r="W4" s="3">
        <f t="shared" si="13"/>
        <v>17.80629843</v>
      </c>
      <c r="X4" s="3">
        <f t="shared" si="14"/>
        <v>17.80629843</v>
      </c>
      <c r="Y4" s="3"/>
      <c r="Z4" s="3"/>
    </row>
    <row r="5">
      <c r="A5" s="3" t="s">
        <v>31</v>
      </c>
      <c r="B5" s="3" t="s">
        <v>32</v>
      </c>
      <c r="C5" s="3">
        <v>47.98</v>
      </c>
      <c r="D5" s="3" t="s">
        <v>33</v>
      </c>
      <c r="E5" s="3">
        <v>11.3125</v>
      </c>
      <c r="F5" s="3">
        <v>100.0</v>
      </c>
      <c r="G5" s="3">
        <f t="shared" si="2"/>
        <v>11.3125</v>
      </c>
      <c r="H5" s="3">
        <v>206.196837665489</v>
      </c>
      <c r="I5" s="3">
        <v>62.8781295921504</v>
      </c>
      <c r="J5" s="3">
        <v>18.8501624235785</v>
      </c>
      <c r="K5" s="3">
        <v>287.9251296812179</v>
      </c>
      <c r="L5" s="3">
        <f t="shared" si="3"/>
        <v>0.0392897279</v>
      </c>
      <c r="M5" s="3">
        <f t="shared" si="4"/>
        <v>0.0392897279</v>
      </c>
      <c r="N5" s="3">
        <f t="shared" si="5"/>
        <v>0.05486262606</v>
      </c>
      <c r="O5" s="3">
        <f t="shared" si="6"/>
        <v>0.1799115221</v>
      </c>
      <c r="P5" s="3">
        <f t="shared" si="7"/>
        <v>0.6001274549</v>
      </c>
      <c r="Q5" s="3">
        <f t="shared" si="8"/>
        <v>0.05486262606</v>
      </c>
      <c r="R5" s="3">
        <f t="shared" si="9"/>
        <v>0.1799115221</v>
      </c>
      <c r="S5" s="3">
        <f t="shared" ref="S5:T5" si="16">G5/J5</f>
        <v>0.6001274549</v>
      </c>
      <c r="T5" s="3">
        <f t="shared" si="16"/>
        <v>0.7161474161</v>
      </c>
      <c r="U5" s="3">
        <f t="shared" si="11"/>
        <v>0.2183836113</v>
      </c>
      <c r="V5" s="3">
        <f t="shared" si="12"/>
        <v>0.06546897259</v>
      </c>
      <c r="W5" s="3">
        <f t="shared" si="13"/>
        <v>25.45194517</v>
      </c>
      <c r="X5" s="3">
        <f t="shared" si="14"/>
        <v>25.45194517</v>
      </c>
      <c r="Y5" s="3"/>
      <c r="Z5" s="3"/>
    </row>
    <row r="6">
      <c r="A6" s="3" t="s">
        <v>34</v>
      </c>
      <c r="B6" s="3" t="s">
        <v>35</v>
      </c>
      <c r="C6" s="3">
        <v>44.81</v>
      </c>
      <c r="D6" s="3" t="s">
        <v>36</v>
      </c>
      <c r="E6" s="3">
        <v>9.99166666666667</v>
      </c>
      <c r="F6" s="3">
        <v>100.0</v>
      </c>
      <c r="G6" s="3">
        <f t="shared" si="2"/>
        <v>9.991666667</v>
      </c>
      <c r="H6" s="3">
        <v>248.382891185621</v>
      </c>
      <c r="I6" s="3">
        <v>0.0</v>
      </c>
      <c r="J6" s="3">
        <v>8.48326799565168</v>
      </c>
      <c r="K6" s="3">
        <v>256.8661591812727</v>
      </c>
      <c r="L6" s="3">
        <f t="shared" si="3"/>
        <v>0.03889833795</v>
      </c>
      <c r="M6" s="3">
        <f t="shared" si="4"/>
        <v>0.03889833795</v>
      </c>
      <c r="N6" s="3">
        <f t="shared" si="5"/>
        <v>0.04022687158</v>
      </c>
      <c r="O6" s="3" t="str">
        <f t="shared" si="6"/>
        <v>#DIV/0!</v>
      </c>
      <c r="P6" s="3">
        <f t="shared" si="7"/>
        <v>1.177808678</v>
      </c>
      <c r="Q6" s="3">
        <f t="shared" si="8"/>
        <v>0.04022687158</v>
      </c>
      <c r="R6" s="3" t="str">
        <f t="shared" si="9"/>
        <v>#DIV/0!</v>
      </c>
      <c r="S6" s="3">
        <f t="shared" ref="S6:T6" si="17">G6/J6</f>
        <v>1.177808678</v>
      </c>
      <c r="T6" s="3">
        <f t="shared" si="17"/>
        <v>0.9669739758</v>
      </c>
      <c r="U6" s="3">
        <f t="shared" si="11"/>
        <v>0</v>
      </c>
      <c r="V6" s="3">
        <f t="shared" si="12"/>
        <v>0.03302602422</v>
      </c>
      <c r="W6" s="3">
        <f t="shared" si="13"/>
        <v>25.70803928</v>
      </c>
      <c r="X6" s="3">
        <f t="shared" si="14"/>
        <v>25.70803928</v>
      </c>
      <c r="Y6" s="3"/>
      <c r="Z6" s="3"/>
    </row>
    <row r="7">
      <c r="A7" s="4" t="s">
        <v>37</v>
      </c>
      <c r="B7" s="4" t="s">
        <v>35</v>
      </c>
      <c r="C7" s="4">
        <v>44.39</v>
      </c>
      <c r="D7" s="4" t="s">
        <v>26</v>
      </c>
      <c r="E7" s="4">
        <v>9.95833333333333</v>
      </c>
      <c r="F7" s="4">
        <v>100.0</v>
      </c>
      <c r="G7" s="4">
        <f t="shared" si="2"/>
        <v>9.958333333</v>
      </c>
      <c r="H7" s="4">
        <v>248.382891185621</v>
      </c>
      <c r="I7" s="4">
        <v>0.0</v>
      </c>
      <c r="J7" s="4">
        <v>8.48326799565168</v>
      </c>
      <c r="K7" s="4">
        <v>256.8661591812727</v>
      </c>
      <c r="L7" s="4">
        <f t="shared" si="3"/>
        <v>0.03876856868</v>
      </c>
      <c r="M7" s="4">
        <f t="shared" si="4"/>
        <v>0.03876856868</v>
      </c>
      <c r="N7" s="4">
        <f t="shared" si="5"/>
        <v>0.04009267017</v>
      </c>
      <c r="O7" s="4" t="str">
        <f t="shared" si="6"/>
        <v>#DIV/0!</v>
      </c>
      <c r="P7" s="4">
        <f t="shared" si="7"/>
        <v>1.173879375</v>
      </c>
      <c r="Q7" s="4">
        <f t="shared" si="8"/>
        <v>0.04009267017</v>
      </c>
      <c r="R7" s="4" t="str">
        <f t="shared" si="9"/>
        <v>#DIV/0!</v>
      </c>
      <c r="S7" s="4">
        <f t="shared" ref="S7:T7" si="18">G7/J7</f>
        <v>1.173879375</v>
      </c>
      <c r="T7" s="4">
        <f t="shared" si="18"/>
        <v>0.9669739758</v>
      </c>
      <c r="U7" s="4">
        <f t="shared" si="11"/>
        <v>0</v>
      </c>
      <c r="V7" s="4">
        <f t="shared" si="12"/>
        <v>0.03302602422</v>
      </c>
      <c r="W7" s="4">
        <f t="shared" si="13"/>
        <v>25.7940913</v>
      </c>
      <c r="X7" s="4">
        <f t="shared" si="14"/>
        <v>25.7940913</v>
      </c>
      <c r="Y7" s="4"/>
      <c r="Z7" s="4"/>
    </row>
    <row r="8">
      <c r="A8" s="3" t="s">
        <v>38</v>
      </c>
      <c r="B8" s="3" t="s">
        <v>39</v>
      </c>
      <c r="C8" s="3">
        <v>43.63</v>
      </c>
      <c r="D8" s="3" t="s">
        <v>26</v>
      </c>
      <c r="E8" s="3">
        <v>16.8625</v>
      </c>
      <c r="F8" s="3">
        <v>100.0</v>
      </c>
      <c r="G8" s="3">
        <f t="shared" si="2"/>
        <v>16.8625</v>
      </c>
      <c r="H8" s="3">
        <v>486.97130502756</v>
      </c>
      <c r="I8" s="3">
        <v>8.47400870344104</v>
      </c>
      <c r="J8" s="3">
        <v>30.792550239081</v>
      </c>
      <c r="K8" s="3">
        <v>526.237863970082</v>
      </c>
      <c r="L8" s="3">
        <f t="shared" si="3"/>
        <v>0.03204349431</v>
      </c>
      <c r="M8" s="3">
        <f t="shared" si="4"/>
        <v>0.03204349431</v>
      </c>
      <c r="N8" s="3">
        <f t="shared" si="5"/>
        <v>0.03462729698</v>
      </c>
      <c r="O8" s="3">
        <f t="shared" si="6"/>
        <v>1.98990827</v>
      </c>
      <c r="P8" s="3">
        <f t="shared" si="7"/>
        <v>0.5476162211</v>
      </c>
      <c r="Q8" s="3">
        <f t="shared" si="8"/>
        <v>0.03462729698</v>
      </c>
      <c r="R8" s="3">
        <f t="shared" si="9"/>
        <v>1.98990827</v>
      </c>
      <c r="S8" s="3">
        <f t="shared" ref="S8:T8" si="19">G8/J8</f>
        <v>0.5476162211</v>
      </c>
      <c r="T8" s="3">
        <f t="shared" si="19"/>
        <v>0.9253824903</v>
      </c>
      <c r="U8" s="3">
        <f t="shared" si="11"/>
        <v>0.01610300072</v>
      </c>
      <c r="V8" s="3">
        <f t="shared" si="12"/>
        <v>0.05851450902</v>
      </c>
      <c r="W8" s="3">
        <f t="shared" si="13"/>
        <v>31.20758274</v>
      </c>
      <c r="X8" s="3">
        <f t="shared" si="14"/>
        <v>31.20758274</v>
      </c>
      <c r="Y8" s="3"/>
      <c r="Z8" s="3"/>
    </row>
    <row r="9">
      <c r="A9" s="5" t="s">
        <v>40</v>
      </c>
      <c r="B9" s="5" t="s">
        <v>35</v>
      </c>
      <c r="C9" s="5">
        <v>67.59</v>
      </c>
      <c r="D9" s="5" t="s">
        <v>33</v>
      </c>
      <c r="E9" s="5">
        <v>7.4125</v>
      </c>
      <c r="F9" s="5">
        <v>100.0</v>
      </c>
      <c r="G9" s="5">
        <f t="shared" si="2"/>
        <v>7.4125</v>
      </c>
      <c r="H9" s="5">
        <v>248.382891185621</v>
      </c>
      <c r="I9" s="5">
        <v>0.0</v>
      </c>
      <c r="J9" s="5">
        <v>8.48326799565168</v>
      </c>
      <c r="K9" s="5">
        <v>256.8661591812727</v>
      </c>
      <c r="L9" s="5">
        <f t="shared" si="3"/>
        <v>0.02885744087</v>
      </c>
      <c r="M9" s="5">
        <f t="shared" si="4"/>
        <v>0.02885744087</v>
      </c>
      <c r="N9" s="5">
        <f t="shared" si="5"/>
        <v>0.02984303776</v>
      </c>
      <c r="O9" s="5" t="str">
        <f t="shared" si="6"/>
        <v>#DIV/0!</v>
      </c>
      <c r="P9" s="5">
        <f t="shared" si="7"/>
        <v>0.8737788319</v>
      </c>
      <c r="Q9" s="5">
        <f t="shared" si="8"/>
        <v>0.02984303776</v>
      </c>
      <c r="R9" s="5" t="str">
        <f t="shared" si="9"/>
        <v>#DIV/0!</v>
      </c>
      <c r="S9" s="5">
        <f t="shared" ref="S9:T9" si="20">G9/J9</f>
        <v>0.8737788319</v>
      </c>
      <c r="T9" s="5">
        <f t="shared" si="20"/>
        <v>0.9669739758</v>
      </c>
      <c r="U9" s="5">
        <f t="shared" si="11"/>
        <v>0</v>
      </c>
      <c r="V9" s="5">
        <f t="shared" si="12"/>
        <v>0.03302602422</v>
      </c>
      <c r="W9" s="5">
        <f t="shared" si="13"/>
        <v>34.65310748</v>
      </c>
      <c r="X9" s="5">
        <f t="shared" si="14"/>
        <v>34.65310748</v>
      </c>
    </row>
    <row r="10">
      <c r="A10" s="3" t="s">
        <v>41</v>
      </c>
      <c r="B10" s="3" t="s">
        <v>42</v>
      </c>
      <c r="C10" s="3">
        <v>42.31</v>
      </c>
      <c r="D10" s="3" t="s">
        <v>26</v>
      </c>
      <c r="E10" s="3">
        <v>14.59375</v>
      </c>
      <c r="F10" s="3">
        <v>100.0</v>
      </c>
      <c r="G10" s="3">
        <f t="shared" si="2"/>
        <v>14.59375</v>
      </c>
      <c r="H10" s="3">
        <v>306.713411584388</v>
      </c>
      <c r="I10" s="3">
        <v>168.487339282419</v>
      </c>
      <c r="J10" s="3">
        <v>38.496833898807</v>
      </c>
      <c r="K10" s="3">
        <v>513.697584765614</v>
      </c>
      <c r="L10" s="3">
        <f t="shared" si="3"/>
        <v>0.02840922448</v>
      </c>
      <c r="M10" s="3">
        <f t="shared" si="4"/>
        <v>0.02840922448</v>
      </c>
      <c r="N10" s="3">
        <f t="shared" si="5"/>
        <v>0.04758106248</v>
      </c>
      <c r="O10" s="3">
        <f t="shared" si="6"/>
        <v>0.08661630044</v>
      </c>
      <c r="P10" s="3">
        <f t="shared" si="7"/>
        <v>0.3790896165</v>
      </c>
      <c r="Q10" s="3">
        <f t="shared" si="8"/>
        <v>0.04758106248</v>
      </c>
      <c r="R10" s="3">
        <f t="shared" si="9"/>
        <v>0.08661630044</v>
      </c>
      <c r="S10" s="3">
        <f t="shared" ref="S10:T10" si="21">G10/J10</f>
        <v>0.3790896165</v>
      </c>
      <c r="T10" s="3">
        <f t="shared" si="21"/>
        <v>0.5970699896</v>
      </c>
      <c r="U10" s="3">
        <f t="shared" si="11"/>
        <v>0.3279893546</v>
      </c>
      <c r="V10" s="3">
        <f t="shared" si="12"/>
        <v>0.07494065583</v>
      </c>
      <c r="W10" s="3">
        <f t="shared" si="13"/>
        <v>35.1998345</v>
      </c>
      <c r="X10" s="3">
        <f t="shared" si="14"/>
        <v>35.1998345</v>
      </c>
      <c r="Y10" s="3"/>
      <c r="Z10" s="3"/>
    </row>
    <row r="11">
      <c r="A11" s="5" t="s">
        <v>43</v>
      </c>
      <c r="B11" s="5" t="s">
        <v>35</v>
      </c>
      <c r="C11" s="5">
        <v>77.33</v>
      </c>
      <c r="D11" s="5" t="s">
        <v>44</v>
      </c>
      <c r="E11" s="5">
        <v>14.53634010156</v>
      </c>
      <c r="F11" s="5">
        <v>50.0</v>
      </c>
      <c r="G11" s="5">
        <f t="shared" si="2"/>
        <v>7.268170051</v>
      </c>
      <c r="H11" s="5">
        <v>248.382891185621</v>
      </c>
      <c r="I11" s="5">
        <v>0.0</v>
      </c>
      <c r="J11" s="5">
        <v>8.48326799565168</v>
      </c>
      <c r="K11" s="5">
        <v>256.8661591812727</v>
      </c>
      <c r="L11" s="5">
        <f t="shared" si="3"/>
        <v>0.05659110623</v>
      </c>
      <c r="M11" s="5">
        <f t="shared" si="4"/>
        <v>0.02829555312</v>
      </c>
      <c r="N11" s="5">
        <f t="shared" si="5"/>
        <v>0.05852391858</v>
      </c>
      <c r="O11" s="5" t="str">
        <f t="shared" si="6"/>
        <v>#DIV/0!</v>
      </c>
      <c r="P11" s="5">
        <f t="shared" si="7"/>
        <v>1.713530695</v>
      </c>
      <c r="Q11" s="5">
        <f t="shared" si="8"/>
        <v>0.02926195929</v>
      </c>
      <c r="R11" s="5" t="str">
        <f t="shared" si="9"/>
        <v>#DIV/0!</v>
      </c>
      <c r="S11" s="5">
        <f t="shared" ref="S11:T11" si="22">G11/J11</f>
        <v>0.8567653473</v>
      </c>
      <c r="T11" s="5">
        <f t="shared" si="22"/>
        <v>0.9669739758</v>
      </c>
      <c r="U11" s="5">
        <f t="shared" si="11"/>
        <v>0</v>
      </c>
      <c r="V11" s="5">
        <f t="shared" si="12"/>
        <v>0.03302602422</v>
      </c>
      <c r="W11" s="5">
        <f t="shared" si="13"/>
        <v>17.67062117</v>
      </c>
      <c r="X11" s="5">
        <f t="shared" si="14"/>
        <v>35.34124235</v>
      </c>
    </row>
    <row r="12">
      <c r="A12" s="5" t="s">
        <v>45</v>
      </c>
      <c r="B12" s="5" t="s">
        <v>46</v>
      </c>
      <c r="C12" s="5">
        <v>62.17</v>
      </c>
      <c r="D12" s="5" t="s">
        <v>26</v>
      </c>
      <c r="E12" s="5">
        <v>6.77916666666667</v>
      </c>
      <c r="F12" s="5">
        <v>100.0</v>
      </c>
      <c r="G12" s="5">
        <f t="shared" si="2"/>
        <v>6.779166667</v>
      </c>
      <c r="H12" s="5">
        <v>181.116655419346</v>
      </c>
      <c r="I12" s="5">
        <v>26.3655721132115</v>
      </c>
      <c r="J12" s="5">
        <v>72.852487781248</v>
      </c>
      <c r="K12" s="5">
        <v>280.3347153138055</v>
      </c>
      <c r="L12" s="5">
        <f t="shared" si="3"/>
        <v>0.02418240159</v>
      </c>
      <c r="M12" s="5">
        <f t="shared" si="4"/>
        <v>0.02418240159</v>
      </c>
      <c r="N12" s="5">
        <f t="shared" si="5"/>
        <v>0.03742983577</v>
      </c>
      <c r="O12" s="5">
        <f t="shared" si="6"/>
        <v>0.2571219254</v>
      </c>
      <c r="P12" s="5">
        <f t="shared" si="7"/>
        <v>0.0930533311</v>
      </c>
      <c r="Q12" s="5">
        <f t="shared" si="8"/>
        <v>0.03742983577</v>
      </c>
      <c r="R12" s="5">
        <f t="shared" si="9"/>
        <v>0.2571219254</v>
      </c>
      <c r="S12" s="5">
        <f t="shared" ref="S12:T12" si="23">G12/J12</f>
        <v>0.0930533311</v>
      </c>
      <c r="T12" s="5">
        <f t="shared" si="23"/>
        <v>0.6460728748</v>
      </c>
      <c r="U12" s="5">
        <f t="shared" si="11"/>
        <v>0.09405032867</v>
      </c>
      <c r="V12" s="5">
        <f t="shared" si="12"/>
        <v>0.2598767966</v>
      </c>
      <c r="W12" s="5">
        <f t="shared" si="13"/>
        <v>41.35238579</v>
      </c>
      <c r="X12" s="5">
        <f t="shared" si="14"/>
        <v>41.35238579</v>
      </c>
    </row>
    <row r="13">
      <c r="A13" s="3" t="s">
        <v>47</v>
      </c>
      <c r="B13" s="3" t="s">
        <v>42</v>
      </c>
      <c r="C13" s="3">
        <v>46.46</v>
      </c>
      <c r="D13" s="3" t="s">
        <v>26</v>
      </c>
      <c r="E13" s="3">
        <v>12.3541666666667</v>
      </c>
      <c r="F13" s="3">
        <v>100.0</v>
      </c>
      <c r="G13" s="3">
        <f t="shared" si="2"/>
        <v>12.35416667</v>
      </c>
      <c r="H13" s="3">
        <v>306.713411584388</v>
      </c>
      <c r="I13" s="3">
        <v>168.487339282419</v>
      </c>
      <c r="J13" s="3">
        <v>38.496833898807</v>
      </c>
      <c r="K13" s="3">
        <v>513.697584765614</v>
      </c>
      <c r="L13" s="3">
        <f t="shared" si="3"/>
        <v>0.02404949338</v>
      </c>
      <c r="M13" s="3">
        <f t="shared" si="4"/>
        <v>0.02404949338</v>
      </c>
      <c r="N13" s="3">
        <f t="shared" si="5"/>
        <v>0.04027918637</v>
      </c>
      <c r="O13" s="3">
        <f t="shared" si="6"/>
        <v>0.07332400594</v>
      </c>
      <c r="P13" s="3">
        <f t="shared" si="7"/>
        <v>0.3209138367</v>
      </c>
      <c r="Q13" s="3">
        <f t="shared" si="8"/>
        <v>0.04027918637</v>
      </c>
      <c r="R13" s="3">
        <f t="shared" si="9"/>
        <v>0.07332400594</v>
      </c>
      <c r="S13" s="3">
        <f t="shared" ref="S13:T13" si="24">G13/J13</f>
        <v>0.3209138367</v>
      </c>
      <c r="T13" s="3">
        <f t="shared" si="24"/>
        <v>0.5970699896</v>
      </c>
      <c r="U13" s="3">
        <f t="shared" si="11"/>
        <v>0.3279893546</v>
      </c>
      <c r="V13" s="3">
        <f t="shared" si="12"/>
        <v>0.07494065583</v>
      </c>
      <c r="W13" s="3">
        <f t="shared" si="13"/>
        <v>41.58091749</v>
      </c>
      <c r="X13" s="3">
        <f t="shared" si="14"/>
        <v>41.58091749</v>
      </c>
      <c r="Y13" s="3"/>
      <c r="Z13" s="3"/>
    </row>
    <row r="14">
      <c r="A14" s="5" t="s">
        <v>48</v>
      </c>
      <c r="B14" s="5" t="s">
        <v>49</v>
      </c>
      <c r="C14" s="5">
        <v>72.1</v>
      </c>
      <c r="D14" s="5" t="s">
        <v>50</v>
      </c>
      <c r="E14" s="5">
        <v>22.1666666666667</v>
      </c>
      <c r="F14" s="5">
        <v>60.0</v>
      </c>
      <c r="G14" s="5">
        <f t="shared" si="2"/>
        <v>13.3</v>
      </c>
      <c r="H14" s="5">
        <v>319.53897824335</v>
      </c>
      <c r="I14" s="5">
        <v>53.5206701333279</v>
      </c>
      <c r="J14" s="5">
        <v>188.03958334404</v>
      </c>
      <c r="K14" s="5">
        <v>561.0992317207179</v>
      </c>
      <c r="L14" s="5">
        <f t="shared" si="3"/>
        <v>0.03950578688</v>
      </c>
      <c r="M14" s="5">
        <f t="shared" si="4"/>
        <v>0.02370347213</v>
      </c>
      <c r="N14" s="5">
        <f t="shared" si="5"/>
        <v>0.06937077532</v>
      </c>
      <c r="O14" s="5">
        <f t="shared" si="6"/>
        <v>0.4141702003</v>
      </c>
      <c r="P14" s="5">
        <f t="shared" si="7"/>
        <v>0.1178829812</v>
      </c>
      <c r="Q14" s="5">
        <f t="shared" si="8"/>
        <v>0.04162246519</v>
      </c>
      <c r="R14" s="5">
        <f t="shared" si="9"/>
        <v>0.2485021202</v>
      </c>
      <c r="S14" s="5">
        <f t="shared" ref="S14:T14" si="25">G14/J14</f>
        <v>0.07072978872</v>
      </c>
      <c r="T14" s="5">
        <f t="shared" si="25"/>
        <v>0.5694874635</v>
      </c>
      <c r="U14" s="5">
        <f t="shared" si="11"/>
        <v>0.09538539194</v>
      </c>
      <c r="V14" s="5">
        <f t="shared" si="12"/>
        <v>0.3351271446</v>
      </c>
      <c r="W14" s="5">
        <f t="shared" si="13"/>
        <v>25.3127473</v>
      </c>
      <c r="X14" s="5">
        <f t="shared" si="14"/>
        <v>42.18791216</v>
      </c>
    </row>
    <row r="15">
      <c r="A15" s="5" t="s">
        <v>51</v>
      </c>
      <c r="B15" s="5" t="s">
        <v>49</v>
      </c>
      <c r="C15" s="5">
        <v>72.42</v>
      </c>
      <c r="D15" s="5" t="s">
        <v>50</v>
      </c>
      <c r="E15" s="5">
        <v>21.3442028985507</v>
      </c>
      <c r="F15" s="5">
        <v>60.0</v>
      </c>
      <c r="G15" s="5">
        <f t="shared" si="2"/>
        <v>12.80652174</v>
      </c>
      <c r="H15" s="5">
        <v>319.53897824335</v>
      </c>
      <c r="I15" s="5">
        <v>53.5206701333279</v>
      </c>
      <c r="J15" s="5">
        <v>188.03958334404</v>
      </c>
      <c r="K15" s="5">
        <v>561.0992317207179</v>
      </c>
      <c r="L15" s="5">
        <f t="shared" si="3"/>
        <v>0.03803997883</v>
      </c>
      <c r="M15" s="5">
        <f t="shared" si="4"/>
        <v>0.0228239873</v>
      </c>
      <c r="N15" s="5">
        <f t="shared" si="5"/>
        <v>0.06679686784</v>
      </c>
      <c r="O15" s="5">
        <f t="shared" si="6"/>
        <v>0.3988029829</v>
      </c>
      <c r="P15" s="5">
        <f t="shared" si="7"/>
        <v>0.1135090948</v>
      </c>
      <c r="Q15" s="5">
        <f t="shared" si="8"/>
        <v>0.0400781207</v>
      </c>
      <c r="R15" s="5">
        <f t="shared" si="9"/>
        <v>0.2392817898</v>
      </c>
      <c r="S15" s="5">
        <f t="shared" ref="S15:T15" si="26">G15/J15</f>
        <v>0.0681054569</v>
      </c>
      <c r="T15" s="5">
        <f t="shared" si="26"/>
        <v>0.5694874635</v>
      </c>
      <c r="U15" s="5">
        <f t="shared" si="11"/>
        <v>0.09538539194</v>
      </c>
      <c r="V15" s="5">
        <f t="shared" si="12"/>
        <v>0.3351271446</v>
      </c>
      <c r="W15" s="5">
        <f t="shared" si="13"/>
        <v>26.2881324</v>
      </c>
      <c r="X15" s="5">
        <f t="shared" si="14"/>
        <v>43.813554</v>
      </c>
    </row>
    <row r="16">
      <c r="A16" s="5" t="s">
        <v>52</v>
      </c>
      <c r="B16" s="5" t="s">
        <v>49</v>
      </c>
      <c r="C16" s="5">
        <v>69.17</v>
      </c>
      <c r="D16" s="5" t="s">
        <v>50</v>
      </c>
      <c r="E16" s="5">
        <v>20.9166666666667</v>
      </c>
      <c r="F16" s="5">
        <v>60.0</v>
      </c>
      <c r="G16" s="5">
        <f t="shared" si="2"/>
        <v>12.55</v>
      </c>
      <c r="H16" s="5">
        <v>319.53897824335</v>
      </c>
      <c r="I16" s="5">
        <v>53.5206701333279</v>
      </c>
      <c r="J16" s="5">
        <v>188.03958334404</v>
      </c>
      <c r="K16" s="5">
        <v>561.0992317207179</v>
      </c>
      <c r="L16" s="5">
        <f t="shared" si="3"/>
        <v>0.03727801694</v>
      </c>
      <c r="M16" s="5">
        <f t="shared" si="4"/>
        <v>0.02236681017</v>
      </c>
      <c r="N16" s="5">
        <f t="shared" si="5"/>
        <v>0.0654588895</v>
      </c>
      <c r="O16" s="5">
        <f t="shared" si="6"/>
        <v>0.3908147378</v>
      </c>
      <c r="P16" s="5">
        <f t="shared" si="7"/>
        <v>0.1112354447</v>
      </c>
      <c r="Q16" s="5">
        <f t="shared" si="8"/>
        <v>0.0392753337</v>
      </c>
      <c r="R16" s="5">
        <f t="shared" si="9"/>
        <v>0.2344888427</v>
      </c>
      <c r="S16" s="5">
        <f t="shared" ref="S16:T16" si="27">G16/J16</f>
        <v>0.0667412668</v>
      </c>
      <c r="T16" s="5">
        <f t="shared" si="27"/>
        <v>0.5694874635</v>
      </c>
      <c r="U16" s="5">
        <f t="shared" si="11"/>
        <v>0.09538539194</v>
      </c>
      <c r="V16" s="5">
        <f t="shared" si="12"/>
        <v>0.3351271446</v>
      </c>
      <c r="W16" s="5">
        <f t="shared" si="13"/>
        <v>26.82546128</v>
      </c>
      <c r="X16" s="5">
        <f t="shared" si="14"/>
        <v>44.70910213</v>
      </c>
    </row>
    <row r="17">
      <c r="A17" s="5" t="s">
        <v>53</v>
      </c>
      <c r="B17" s="5" t="s">
        <v>49</v>
      </c>
      <c r="C17" s="5">
        <v>63.31</v>
      </c>
      <c r="D17" s="5" t="s">
        <v>50</v>
      </c>
      <c r="E17" s="5">
        <v>20.2083333333333</v>
      </c>
      <c r="F17" s="5">
        <v>60.0</v>
      </c>
      <c r="G17" s="5">
        <f t="shared" si="2"/>
        <v>12.125</v>
      </c>
      <c r="H17" s="5">
        <v>319.53897824335</v>
      </c>
      <c r="I17" s="5">
        <v>53.5206701333279</v>
      </c>
      <c r="J17" s="5">
        <v>188.03958334404</v>
      </c>
      <c r="K17" s="5">
        <v>561.0992317207179</v>
      </c>
      <c r="L17" s="5">
        <f t="shared" si="3"/>
        <v>0.03601561398</v>
      </c>
      <c r="M17" s="5">
        <f t="shared" si="4"/>
        <v>0.02160936839</v>
      </c>
      <c r="N17" s="5">
        <f t="shared" si="5"/>
        <v>0.06324215419</v>
      </c>
      <c r="O17" s="5">
        <f t="shared" si="6"/>
        <v>0.3775799758</v>
      </c>
      <c r="P17" s="5">
        <f t="shared" si="7"/>
        <v>0.1074685073</v>
      </c>
      <c r="Q17" s="5">
        <f t="shared" si="8"/>
        <v>0.03794529252</v>
      </c>
      <c r="R17" s="5">
        <f t="shared" si="9"/>
        <v>0.2265479855</v>
      </c>
      <c r="S17" s="5">
        <f t="shared" ref="S17:T17" si="28">G17/J17</f>
        <v>0.06448110437</v>
      </c>
      <c r="T17" s="5">
        <f t="shared" si="28"/>
        <v>0.5694874635</v>
      </c>
      <c r="U17" s="5">
        <f t="shared" si="11"/>
        <v>0.09538539194</v>
      </c>
      <c r="V17" s="5">
        <f t="shared" si="12"/>
        <v>0.3351271446</v>
      </c>
      <c r="W17" s="5">
        <f t="shared" si="13"/>
        <v>27.76573518</v>
      </c>
      <c r="X17" s="5">
        <f t="shared" si="14"/>
        <v>46.2762253</v>
      </c>
    </row>
    <row r="18">
      <c r="A18" s="3" t="s">
        <v>54</v>
      </c>
      <c r="B18" s="3" t="s">
        <v>55</v>
      </c>
      <c r="C18" s="3">
        <v>54.38</v>
      </c>
      <c r="D18" s="3" t="s">
        <v>26</v>
      </c>
      <c r="E18" s="3">
        <v>19.7729166666667</v>
      </c>
      <c r="F18" s="3">
        <v>100.0</v>
      </c>
      <c r="G18" s="3">
        <f t="shared" si="2"/>
        <v>19.77291667</v>
      </c>
      <c r="H18" s="3">
        <v>826.356305068929</v>
      </c>
      <c r="I18" s="3">
        <v>38.1428084953633</v>
      </c>
      <c r="J18" s="3">
        <v>88.7745708274788</v>
      </c>
      <c r="K18" s="3">
        <v>953.2736843917711</v>
      </c>
      <c r="L18" s="3">
        <f t="shared" si="3"/>
        <v>0.02074211949</v>
      </c>
      <c r="M18" s="3">
        <f t="shared" si="4"/>
        <v>0.02074211949</v>
      </c>
      <c r="N18" s="3">
        <f t="shared" si="5"/>
        <v>0.02392783421</v>
      </c>
      <c r="O18" s="3">
        <f t="shared" si="6"/>
        <v>0.5183917348</v>
      </c>
      <c r="P18" s="3">
        <f t="shared" si="7"/>
        <v>0.222731763</v>
      </c>
      <c r="Q18" s="3">
        <f t="shared" si="8"/>
        <v>0.02392783421</v>
      </c>
      <c r="R18" s="3">
        <f t="shared" si="9"/>
        <v>0.5183917348</v>
      </c>
      <c r="S18" s="3">
        <f t="shared" ref="S18:T18" si="29">G18/J18</f>
        <v>0.222731763</v>
      </c>
      <c r="T18" s="3">
        <f t="shared" si="29"/>
        <v>0.8668615515</v>
      </c>
      <c r="U18" s="3">
        <f t="shared" si="11"/>
        <v>0.04001244251</v>
      </c>
      <c r="V18" s="3">
        <f t="shared" si="12"/>
        <v>0.09312600597</v>
      </c>
      <c r="W18" s="3">
        <f t="shared" si="13"/>
        <v>48.21108087</v>
      </c>
      <c r="X18" s="3">
        <f t="shared" si="14"/>
        <v>48.21108087</v>
      </c>
      <c r="Y18" s="3"/>
      <c r="Z18" s="3"/>
    </row>
    <row r="19">
      <c r="A19" s="3" t="s">
        <v>56</v>
      </c>
      <c r="B19" s="3" t="s">
        <v>35</v>
      </c>
      <c r="C19" s="3">
        <v>54.37</v>
      </c>
      <c r="D19" s="3" t="s">
        <v>57</v>
      </c>
      <c r="E19" s="3">
        <v>10.1708333333333</v>
      </c>
      <c r="F19" s="3">
        <v>50.0</v>
      </c>
      <c r="G19" s="3">
        <f t="shared" si="2"/>
        <v>5.085416667</v>
      </c>
      <c r="H19" s="3">
        <v>248.382891185621</v>
      </c>
      <c r="I19" s="3">
        <v>0.0</v>
      </c>
      <c r="J19" s="3">
        <v>8.48326799565168</v>
      </c>
      <c r="K19" s="3">
        <v>256.8661591812727</v>
      </c>
      <c r="L19" s="3">
        <f t="shared" si="3"/>
        <v>0.03959584776</v>
      </c>
      <c r="M19" s="3">
        <f t="shared" si="4"/>
        <v>0.01979792388</v>
      </c>
      <c r="N19" s="3">
        <f t="shared" si="5"/>
        <v>0.04094820414</v>
      </c>
      <c r="O19" s="3" t="str">
        <f t="shared" si="6"/>
        <v>#DIV/0!</v>
      </c>
      <c r="P19" s="3">
        <f t="shared" si="7"/>
        <v>1.198928684</v>
      </c>
      <c r="Q19" s="3">
        <f t="shared" si="8"/>
        <v>0.02047410207</v>
      </c>
      <c r="R19" s="3" t="str">
        <f t="shared" si="9"/>
        <v>#DIV/0!</v>
      </c>
      <c r="S19" s="3">
        <f t="shared" ref="S19:T19" si="30">G19/J19</f>
        <v>0.599464342</v>
      </c>
      <c r="T19" s="3">
        <f t="shared" si="30"/>
        <v>0.9669739758</v>
      </c>
      <c r="U19" s="3">
        <f t="shared" si="11"/>
        <v>0</v>
      </c>
      <c r="V19" s="3">
        <f t="shared" si="12"/>
        <v>0.03302602422</v>
      </c>
      <c r="W19" s="3">
        <f t="shared" si="13"/>
        <v>25.25517337</v>
      </c>
      <c r="X19" s="3">
        <f t="shared" si="14"/>
        <v>50.51034675</v>
      </c>
      <c r="Y19" s="3"/>
      <c r="Z19" s="3"/>
    </row>
    <row r="20">
      <c r="A20" s="5" t="s">
        <v>58</v>
      </c>
      <c r="B20" s="5" t="s">
        <v>49</v>
      </c>
      <c r="C20" s="5">
        <v>68.82</v>
      </c>
      <c r="D20" s="5" t="s">
        <v>50</v>
      </c>
      <c r="E20" s="5">
        <v>17.2708333333333</v>
      </c>
      <c r="F20" s="5">
        <v>60.0</v>
      </c>
      <c r="G20" s="5">
        <f t="shared" si="2"/>
        <v>10.3625</v>
      </c>
      <c r="H20" s="5">
        <v>319.53897824335</v>
      </c>
      <c r="I20" s="5">
        <v>53.5206701333279</v>
      </c>
      <c r="J20" s="5">
        <v>188.03958334404</v>
      </c>
      <c r="K20" s="5">
        <v>561.0992317207179</v>
      </c>
      <c r="L20" s="5">
        <f t="shared" si="3"/>
        <v>0.03078035463</v>
      </c>
      <c r="M20" s="5">
        <f t="shared" si="4"/>
        <v>0.01846821278</v>
      </c>
      <c r="N20" s="5">
        <f t="shared" si="5"/>
        <v>0.0540492225</v>
      </c>
      <c r="O20" s="5">
        <f t="shared" si="6"/>
        <v>0.3226946391</v>
      </c>
      <c r="P20" s="5">
        <f t="shared" si="7"/>
        <v>0.09184679644</v>
      </c>
      <c r="Q20" s="5">
        <f t="shared" si="8"/>
        <v>0.0324295335</v>
      </c>
      <c r="R20" s="5">
        <f t="shared" si="9"/>
        <v>0.1936167835</v>
      </c>
      <c r="S20" s="5">
        <f t="shared" ref="S20:T20" si="31">G20/J20</f>
        <v>0.05510807786</v>
      </c>
      <c r="T20" s="5">
        <f t="shared" si="31"/>
        <v>0.5694874635</v>
      </c>
      <c r="U20" s="5">
        <f t="shared" si="11"/>
        <v>0.09538539194</v>
      </c>
      <c r="V20" s="5">
        <f t="shared" si="12"/>
        <v>0.3351271446</v>
      </c>
      <c r="W20" s="5">
        <f t="shared" si="13"/>
        <v>32.48825467</v>
      </c>
      <c r="X20" s="5">
        <f t="shared" si="14"/>
        <v>54.14709112</v>
      </c>
    </row>
    <row r="21" ht="15.75" customHeight="1">
      <c r="A21" s="5" t="s">
        <v>59</v>
      </c>
      <c r="B21" s="5" t="s">
        <v>60</v>
      </c>
      <c r="C21" s="5">
        <v>100.0</v>
      </c>
      <c r="D21" s="5" t="s">
        <v>61</v>
      </c>
      <c r="E21" s="5">
        <v>36.0301002407074</v>
      </c>
      <c r="F21" s="5">
        <v>90.0</v>
      </c>
      <c r="G21" s="5">
        <f t="shared" si="2"/>
        <v>32.42709022</v>
      </c>
      <c r="H21" s="5">
        <v>2037.04209080111</v>
      </c>
      <c r="I21" s="5">
        <v>70.2940118996315</v>
      </c>
      <c r="J21" s="5">
        <v>37.3032684140618</v>
      </c>
      <c r="K21" s="5">
        <v>2144.639371114803</v>
      </c>
      <c r="L21" s="5">
        <f t="shared" si="3"/>
        <v>0.01680007405</v>
      </c>
      <c r="M21" s="5">
        <f t="shared" si="4"/>
        <v>0.01512006664</v>
      </c>
      <c r="N21" s="5">
        <f t="shared" si="5"/>
        <v>0.01768745987</v>
      </c>
      <c r="O21" s="5">
        <f t="shared" si="6"/>
        <v>0.5125628666</v>
      </c>
      <c r="P21" s="5">
        <f t="shared" si="7"/>
        <v>0.9658697957</v>
      </c>
      <c r="Q21" s="5">
        <f t="shared" si="8"/>
        <v>0.01591871389</v>
      </c>
      <c r="R21" s="5">
        <f t="shared" si="9"/>
        <v>0.4613065799</v>
      </c>
      <c r="S21" s="5">
        <f t="shared" ref="S21:T21" si="32">G21/J21</f>
        <v>0.8692828161</v>
      </c>
      <c r="T21" s="5">
        <f t="shared" si="32"/>
        <v>0.9498296629</v>
      </c>
      <c r="U21" s="5">
        <f t="shared" si="11"/>
        <v>0.0327766117</v>
      </c>
      <c r="V21" s="5">
        <f t="shared" si="12"/>
        <v>0.01739372545</v>
      </c>
      <c r="W21" s="5">
        <f t="shared" si="13"/>
        <v>59.52354717</v>
      </c>
      <c r="X21" s="5">
        <f t="shared" si="14"/>
        <v>66.13727463</v>
      </c>
    </row>
    <row r="22" ht="15.75" customHeight="1">
      <c r="A22" s="5" t="s">
        <v>62</v>
      </c>
      <c r="B22" s="5" t="s">
        <v>60</v>
      </c>
      <c r="C22" s="5">
        <v>100.0</v>
      </c>
      <c r="D22" s="5" t="s">
        <v>61</v>
      </c>
      <c r="E22" s="5">
        <v>35.6875002384186</v>
      </c>
      <c r="F22" s="5">
        <v>90.0</v>
      </c>
      <c r="G22" s="5">
        <f t="shared" si="2"/>
        <v>32.11875021</v>
      </c>
      <c r="H22" s="5">
        <v>2037.04209080111</v>
      </c>
      <c r="I22" s="5">
        <v>70.2940118996315</v>
      </c>
      <c r="J22" s="5">
        <v>37.3032684140618</v>
      </c>
      <c r="K22" s="5">
        <v>2144.639371114803</v>
      </c>
      <c r="L22" s="5">
        <f t="shared" si="3"/>
        <v>0.01664032691</v>
      </c>
      <c r="M22" s="5">
        <f t="shared" si="4"/>
        <v>0.01497629422</v>
      </c>
      <c r="N22" s="5">
        <f t="shared" si="5"/>
        <v>0.01751927483</v>
      </c>
      <c r="O22" s="5">
        <f t="shared" si="6"/>
        <v>0.5076890517</v>
      </c>
      <c r="P22" s="5">
        <f t="shared" si="7"/>
        <v>0.9566856138</v>
      </c>
      <c r="Q22" s="5">
        <f t="shared" si="8"/>
        <v>0.01576734735</v>
      </c>
      <c r="R22" s="5">
        <f t="shared" si="9"/>
        <v>0.4569201465</v>
      </c>
      <c r="S22" s="5">
        <f t="shared" ref="S22:T22" si="33">G22/J22</f>
        <v>0.8610170524</v>
      </c>
      <c r="T22" s="5">
        <f t="shared" si="33"/>
        <v>0.9498296629</v>
      </c>
      <c r="U22" s="5">
        <f t="shared" si="11"/>
        <v>0.0327766117</v>
      </c>
      <c r="V22" s="5">
        <f t="shared" si="12"/>
        <v>0.01739372545</v>
      </c>
      <c r="W22" s="5">
        <f t="shared" si="13"/>
        <v>60.09497322</v>
      </c>
      <c r="X22" s="5">
        <f t="shared" si="14"/>
        <v>66.77219247</v>
      </c>
    </row>
    <row r="23" ht="15.75" customHeight="1">
      <c r="A23" s="4" t="s">
        <v>63</v>
      </c>
      <c r="B23" s="4" t="s">
        <v>64</v>
      </c>
      <c r="C23" s="4">
        <v>100.0</v>
      </c>
      <c r="D23" s="4" t="s">
        <v>36</v>
      </c>
      <c r="E23" s="4">
        <v>24.9520833333333</v>
      </c>
      <c r="F23" s="4">
        <v>100.0</v>
      </c>
      <c r="G23" s="4">
        <f t="shared" si="2"/>
        <v>24.95208333</v>
      </c>
      <c r="H23" s="4">
        <v>1277.21127399482</v>
      </c>
      <c r="I23" s="4">
        <v>342.455126869744</v>
      </c>
      <c r="J23" s="4">
        <v>207.421846646418</v>
      </c>
      <c r="K23" s="4">
        <v>1827.088247510982</v>
      </c>
      <c r="L23" s="4">
        <f t="shared" si="3"/>
        <v>0.01365674776</v>
      </c>
      <c r="M23" s="4">
        <f t="shared" si="4"/>
        <v>0.01365674776</v>
      </c>
      <c r="N23" s="4">
        <f t="shared" si="5"/>
        <v>0.01953637886</v>
      </c>
      <c r="O23" s="4">
        <f t="shared" si="6"/>
        <v>0.07286234422</v>
      </c>
      <c r="P23" s="4">
        <f t="shared" si="7"/>
        <v>0.1202963127</v>
      </c>
      <c r="Q23" s="4">
        <f t="shared" si="8"/>
        <v>0.01953637886</v>
      </c>
      <c r="R23" s="4">
        <f t="shared" si="9"/>
        <v>0.07286234422</v>
      </c>
      <c r="S23" s="4">
        <f t="shared" ref="S23:T23" si="34">G23/J23</f>
        <v>0.1202963127</v>
      </c>
      <c r="T23" s="4">
        <f t="shared" si="34"/>
        <v>0.6990419186</v>
      </c>
      <c r="U23" s="4">
        <f t="shared" si="11"/>
        <v>0.1874321765</v>
      </c>
      <c r="V23" s="4">
        <f t="shared" si="12"/>
        <v>0.1135259049</v>
      </c>
      <c r="W23" s="4">
        <f t="shared" si="13"/>
        <v>73.22387566</v>
      </c>
      <c r="X23" s="4">
        <f t="shared" si="14"/>
        <v>73.22387566</v>
      </c>
      <c r="Y23" s="4"/>
      <c r="Z23" s="4"/>
    </row>
    <row r="24" ht="15.75" customHeight="1">
      <c r="A24" s="4" t="s">
        <v>65</v>
      </c>
      <c r="B24" s="4" t="s">
        <v>66</v>
      </c>
      <c r="C24" s="4">
        <v>100.0</v>
      </c>
      <c r="D24" s="4" t="s">
        <v>33</v>
      </c>
      <c r="E24" s="4">
        <v>25.42</v>
      </c>
      <c r="F24" s="4">
        <v>100.0</v>
      </c>
      <c r="G24" s="4">
        <f t="shared" si="2"/>
        <v>25.42</v>
      </c>
      <c r="H24" s="4">
        <v>1604.50728401433</v>
      </c>
      <c r="I24" s="4">
        <v>159.075871127232</v>
      </c>
      <c r="J24" s="4">
        <v>134.426741585052</v>
      </c>
      <c r="K24" s="4">
        <v>1898.009896726614</v>
      </c>
      <c r="L24" s="4">
        <f t="shared" si="3"/>
        <v>0.01339297548</v>
      </c>
      <c r="M24" s="4">
        <f t="shared" si="4"/>
        <v>0.01339297548</v>
      </c>
      <c r="N24" s="4">
        <f t="shared" si="5"/>
        <v>0.0158428698</v>
      </c>
      <c r="O24" s="4">
        <f t="shared" si="6"/>
        <v>0.1597979619</v>
      </c>
      <c r="P24" s="4">
        <f t="shared" si="7"/>
        <v>0.1890992797</v>
      </c>
      <c r="Q24" s="4">
        <f t="shared" si="8"/>
        <v>0.0158428698</v>
      </c>
      <c r="R24" s="4">
        <f t="shared" si="9"/>
        <v>0.1597979619</v>
      </c>
      <c r="S24" s="4">
        <f t="shared" ref="S24:T24" si="35">G24/J24</f>
        <v>0.1890992797</v>
      </c>
      <c r="T24" s="4">
        <f t="shared" si="35"/>
        <v>0.8453629703</v>
      </c>
      <c r="U24" s="4">
        <f t="shared" si="11"/>
        <v>0.08381192922</v>
      </c>
      <c r="V24" s="4">
        <f t="shared" si="12"/>
        <v>0.07082510045</v>
      </c>
      <c r="W24" s="4">
        <f t="shared" si="13"/>
        <v>74.66600695</v>
      </c>
      <c r="X24" s="4">
        <f t="shared" si="14"/>
        <v>74.66600695</v>
      </c>
      <c r="Y24" s="4"/>
      <c r="Z24" s="4"/>
    </row>
    <row r="25" ht="15.75" customHeight="1">
      <c r="A25" s="5" t="s">
        <v>67</v>
      </c>
      <c r="B25" s="5" t="s">
        <v>68</v>
      </c>
      <c r="C25" s="5">
        <v>39.35</v>
      </c>
      <c r="D25" s="5" t="s">
        <v>36</v>
      </c>
      <c r="E25" s="5">
        <v>6.95833333333334</v>
      </c>
      <c r="F25" s="5">
        <v>100.0</v>
      </c>
      <c r="G25" s="5">
        <f t="shared" si="2"/>
        <v>6.958333333</v>
      </c>
      <c r="H25" s="5">
        <v>549.987833988006</v>
      </c>
      <c r="I25" s="5">
        <v>0.257647964009659</v>
      </c>
      <c r="J25" s="5">
        <v>13.2690828829069</v>
      </c>
      <c r="K25" s="5">
        <v>563.5145648349225</v>
      </c>
      <c r="L25" s="5">
        <f t="shared" si="3"/>
        <v>0.01234809847</v>
      </c>
      <c r="M25" s="5">
        <f t="shared" si="4"/>
        <v>0.01234809847</v>
      </c>
      <c r="N25" s="5">
        <f t="shared" si="5"/>
        <v>0.01265179501</v>
      </c>
      <c r="O25" s="5">
        <f t="shared" si="6"/>
        <v>27.00713495</v>
      </c>
      <c r="P25" s="5">
        <f t="shared" si="7"/>
        <v>0.5244019798</v>
      </c>
      <c r="Q25" s="5">
        <f t="shared" si="8"/>
        <v>0.01265179501</v>
      </c>
      <c r="R25" s="5">
        <f t="shared" si="9"/>
        <v>27.00713495</v>
      </c>
      <c r="S25" s="5">
        <f t="shared" ref="S25:T25" si="36">G25/J25</f>
        <v>0.5244019798</v>
      </c>
      <c r="T25" s="5">
        <f t="shared" si="36"/>
        <v>0.9759957742</v>
      </c>
      <c r="U25" s="5">
        <f t="shared" si="11"/>
        <v>0.0004572161575</v>
      </c>
      <c r="V25" s="5">
        <f t="shared" si="12"/>
        <v>0.02354700963</v>
      </c>
      <c r="W25" s="5">
        <f t="shared" si="13"/>
        <v>80.98412908</v>
      </c>
      <c r="X25" s="5">
        <f t="shared" si="14"/>
        <v>80.98412908</v>
      </c>
    </row>
    <row r="26" ht="15.75" customHeight="1">
      <c r="A26" s="3" t="s">
        <v>69</v>
      </c>
      <c r="B26" s="3" t="s">
        <v>70</v>
      </c>
      <c r="C26" s="3">
        <v>41.37</v>
      </c>
      <c r="D26" s="3" t="s">
        <v>71</v>
      </c>
      <c r="E26" s="3">
        <v>8.79168</v>
      </c>
      <c r="F26" s="3">
        <v>45.0</v>
      </c>
      <c r="G26" s="3">
        <f t="shared" si="2"/>
        <v>3.956256</v>
      </c>
      <c r="H26" s="3">
        <v>192.247733758151</v>
      </c>
      <c r="I26" s="3">
        <v>87.768930799339</v>
      </c>
      <c r="J26" s="3">
        <v>65.4337062822241</v>
      </c>
      <c r="K26" s="3">
        <v>345.4503708397141</v>
      </c>
      <c r="L26" s="3">
        <f t="shared" si="3"/>
        <v>0.02544990755</v>
      </c>
      <c r="M26" s="3">
        <f t="shared" si="4"/>
        <v>0.0114524584</v>
      </c>
      <c r="N26" s="3">
        <f t="shared" si="5"/>
        <v>0.04573099421</v>
      </c>
      <c r="O26" s="3">
        <f t="shared" si="6"/>
        <v>0.1001684756</v>
      </c>
      <c r="P26" s="3">
        <f t="shared" si="7"/>
        <v>0.1343601104</v>
      </c>
      <c r="Q26" s="3">
        <f t="shared" si="8"/>
        <v>0.0205789474</v>
      </c>
      <c r="R26" s="3">
        <f t="shared" si="9"/>
        <v>0.045075814</v>
      </c>
      <c r="S26" s="3">
        <f t="shared" ref="S26:T26" si="37">G26/J26</f>
        <v>0.06046204968</v>
      </c>
      <c r="T26" s="3">
        <f t="shared" si="37"/>
        <v>0.5565133229</v>
      </c>
      <c r="U26" s="3">
        <f t="shared" si="11"/>
        <v>0.2540710279</v>
      </c>
      <c r="V26" s="3">
        <f t="shared" si="12"/>
        <v>0.1894156493</v>
      </c>
      <c r="W26" s="3">
        <f t="shared" si="13"/>
        <v>39.29287358</v>
      </c>
      <c r="X26" s="3">
        <f t="shared" si="14"/>
        <v>87.31749686</v>
      </c>
      <c r="Y26" s="3"/>
      <c r="Z26" s="3"/>
    </row>
    <row r="27" ht="15.75" customHeight="1">
      <c r="A27" s="5" t="s">
        <v>72</v>
      </c>
      <c r="B27" s="5" t="s">
        <v>73</v>
      </c>
      <c r="C27" s="5">
        <v>43.56</v>
      </c>
      <c r="D27" s="5" t="s">
        <v>50</v>
      </c>
      <c r="E27" s="5">
        <v>33.575</v>
      </c>
      <c r="F27" s="5">
        <v>60.0</v>
      </c>
      <c r="G27" s="5">
        <f t="shared" si="2"/>
        <v>20.145</v>
      </c>
      <c r="H27" s="5">
        <v>1350.34042275153</v>
      </c>
      <c r="I27" s="5">
        <v>20.6512530524221</v>
      </c>
      <c r="J27" s="5">
        <v>506.170779011703</v>
      </c>
      <c r="K27" s="5">
        <v>1877.162454815655</v>
      </c>
      <c r="L27" s="5">
        <f t="shared" si="3"/>
        <v>0.01788603853</v>
      </c>
      <c r="M27" s="5">
        <f t="shared" si="4"/>
        <v>0.01073162312</v>
      </c>
      <c r="N27" s="5">
        <f t="shared" si="5"/>
        <v>0.02486410051</v>
      </c>
      <c r="O27" s="5">
        <f t="shared" si="6"/>
        <v>1.625809335</v>
      </c>
      <c r="P27" s="5">
        <f t="shared" si="7"/>
        <v>0.06633136758</v>
      </c>
      <c r="Q27" s="5">
        <f t="shared" si="8"/>
        <v>0.01491846031</v>
      </c>
      <c r="R27" s="5">
        <f t="shared" si="9"/>
        <v>0.9754856012</v>
      </c>
      <c r="S27" s="5">
        <f t="shared" ref="S27:T27" si="38">G27/J27</f>
        <v>0.03979882055</v>
      </c>
      <c r="T27" s="5">
        <f t="shared" si="38"/>
        <v>0.7193519236</v>
      </c>
      <c r="U27" s="5">
        <f t="shared" si="11"/>
        <v>0.01100131371</v>
      </c>
      <c r="V27" s="5">
        <f t="shared" si="12"/>
        <v>0.2696467627</v>
      </c>
      <c r="W27" s="5">
        <f t="shared" si="13"/>
        <v>55.90952956</v>
      </c>
      <c r="X27" s="5">
        <f t="shared" si="14"/>
        <v>93.18254926</v>
      </c>
    </row>
    <row r="28" ht="15.75" customHeight="1">
      <c r="A28" s="5" t="s">
        <v>74</v>
      </c>
      <c r="B28" s="5" t="s">
        <v>75</v>
      </c>
      <c r="C28" s="5">
        <v>64.51</v>
      </c>
      <c r="D28" s="5" t="s">
        <v>76</v>
      </c>
      <c r="E28" s="5">
        <v>7.45208333333333</v>
      </c>
      <c r="F28" s="5">
        <v>82.0</v>
      </c>
      <c r="G28" s="5">
        <f t="shared" si="2"/>
        <v>6.110708333</v>
      </c>
      <c r="H28" s="5">
        <v>382.006458828047</v>
      </c>
      <c r="I28" s="5">
        <v>62.6019885664429</v>
      </c>
      <c r="J28" s="5">
        <v>150.47514612137</v>
      </c>
      <c r="K28" s="5">
        <v>595.0835935158599</v>
      </c>
      <c r="L28" s="5">
        <f t="shared" si="3"/>
        <v>0.01252275044</v>
      </c>
      <c r="M28" s="5">
        <f t="shared" si="4"/>
        <v>0.01026865536</v>
      </c>
      <c r="N28" s="5">
        <f t="shared" si="5"/>
        <v>0.01950774172</v>
      </c>
      <c r="O28" s="5">
        <f t="shared" si="6"/>
        <v>0.1190390833</v>
      </c>
      <c r="P28" s="5">
        <f t="shared" si="7"/>
        <v>0.04952368232</v>
      </c>
      <c r="Q28" s="5">
        <f t="shared" si="8"/>
        <v>0.01599634821</v>
      </c>
      <c r="R28" s="5">
        <f t="shared" si="9"/>
        <v>0.09761204833</v>
      </c>
      <c r="S28" s="5">
        <f t="shared" ref="S28:T28" si="39">G28/J28</f>
        <v>0.0406094195</v>
      </c>
      <c r="T28" s="5">
        <f t="shared" si="39"/>
        <v>0.641937474</v>
      </c>
      <c r="U28" s="5">
        <f t="shared" si="11"/>
        <v>0.1051986465</v>
      </c>
      <c r="V28" s="5">
        <f t="shared" si="12"/>
        <v>0.2528638796</v>
      </c>
      <c r="W28" s="5">
        <f t="shared" si="13"/>
        <v>79.8546617</v>
      </c>
      <c r="X28" s="5">
        <f t="shared" si="14"/>
        <v>97.38373378</v>
      </c>
    </row>
    <row r="29" ht="15.75" customHeight="1">
      <c r="A29" s="3" t="s">
        <v>77</v>
      </c>
      <c r="B29" s="3" t="s">
        <v>78</v>
      </c>
      <c r="C29" s="3">
        <v>66.34</v>
      </c>
      <c r="D29" s="3" t="s">
        <v>71</v>
      </c>
      <c r="E29" s="3">
        <v>7.51666666666667</v>
      </c>
      <c r="F29" s="3">
        <v>45.0</v>
      </c>
      <c r="G29" s="3">
        <f t="shared" si="2"/>
        <v>3.3825</v>
      </c>
      <c r="H29" s="3">
        <v>341.257991626928</v>
      </c>
      <c r="I29" s="3">
        <v>0.259041164097333</v>
      </c>
      <c r="J29" s="3">
        <v>1.22616109533037</v>
      </c>
      <c r="K29" s="3">
        <v>342.7431938863557</v>
      </c>
      <c r="L29" s="3">
        <f t="shared" si="3"/>
        <v>0.02193089987</v>
      </c>
      <c r="M29" s="3">
        <f t="shared" si="4"/>
        <v>0.009868904942</v>
      </c>
      <c r="N29" s="3">
        <f t="shared" si="5"/>
        <v>0.0220263462</v>
      </c>
      <c r="O29" s="3">
        <f t="shared" si="6"/>
        <v>29.01726717</v>
      </c>
      <c r="P29" s="3">
        <f t="shared" si="7"/>
        <v>6.130243975</v>
      </c>
      <c r="Q29" s="3">
        <f t="shared" si="8"/>
        <v>0.009911855789</v>
      </c>
      <c r="R29" s="3">
        <f t="shared" si="9"/>
        <v>13.05777023</v>
      </c>
      <c r="S29" s="3">
        <f t="shared" ref="S29:T29" si="40">G29/J29</f>
        <v>2.758609789</v>
      </c>
      <c r="T29" s="3">
        <f t="shared" si="40"/>
        <v>0.9956667199</v>
      </c>
      <c r="U29" s="3">
        <f t="shared" si="11"/>
        <v>0.0007557879156</v>
      </c>
      <c r="V29" s="3">
        <f t="shared" si="12"/>
        <v>0.003577492178</v>
      </c>
      <c r="W29" s="3">
        <f t="shared" si="13"/>
        <v>45.59776415</v>
      </c>
      <c r="X29" s="3">
        <f t="shared" si="14"/>
        <v>101.3283648</v>
      </c>
      <c r="Y29" s="3"/>
      <c r="Z29" s="3"/>
    </row>
    <row r="30" ht="15.75" customHeight="1">
      <c r="A30" s="4" t="s">
        <v>79</v>
      </c>
      <c r="B30" s="4" t="s">
        <v>80</v>
      </c>
      <c r="C30" s="4">
        <v>61.59</v>
      </c>
      <c r="D30" s="4" t="s">
        <v>81</v>
      </c>
      <c r="E30" s="4">
        <v>27.1908001899719</v>
      </c>
      <c r="F30" s="4">
        <v>50.0</v>
      </c>
      <c r="G30" s="4">
        <f t="shared" si="2"/>
        <v>13.59540009</v>
      </c>
      <c r="H30" s="4">
        <v>1598.07748564158</v>
      </c>
      <c r="I30" s="4">
        <v>33.0244740012753</v>
      </c>
      <c r="J30" s="4">
        <v>28.4645987825754</v>
      </c>
      <c r="K30" s="4">
        <v>1659.566558425431</v>
      </c>
      <c r="L30" s="4">
        <f t="shared" si="3"/>
        <v>0.0163842782</v>
      </c>
      <c r="M30" s="4">
        <f t="shared" si="4"/>
        <v>0.008192139102</v>
      </c>
      <c r="N30" s="4">
        <f t="shared" si="5"/>
        <v>0.01701469449</v>
      </c>
      <c r="O30" s="4">
        <f t="shared" si="6"/>
        <v>0.8233530136</v>
      </c>
      <c r="P30" s="4">
        <f t="shared" si="7"/>
        <v>0.9552497261</v>
      </c>
      <c r="Q30" s="4">
        <f t="shared" si="8"/>
        <v>0.008507347245</v>
      </c>
      <c r="R30" s="4">
        <f t="shared" si="9"/>
        <v>0.4116765068</v>
      </c>
      <c r="S30" s="4">
        <f t="shared" ref="S30:T30" si="41">G30/J30</f>
        <v>0.477624863</v>
      </c>
      <c r="T30" s="4">
        <f t="shared" si="41"/>
        <v>0.9629487155</v>
      </c>
      <c r="U30" s="4">
        <f t="shared" si="11"/>
        <v>0.01989945738</v>
      </c>
      <c r="V30" s="4">
        <f t="shared" si="12"/>
        <v>0.01715182717</v>
      </c>
      <c r="W30" s="4">
        <f t="shared" si="13"/>
        <v>61.03411988</v>
      </c>
      <c r="X30" s="4">
        <f t="shared" si="14"/>
        <v>122.0682398</v>
      </c>
      <c r="Y30" s="4"/>
      <c r="Z30" s="4"/>
    </row>
    <row r="31" ht="15.75" customHeight="1">
      <c r="A31" s="3" t="s">
        <v>82</v>
      </c>
      <c r="B31" s="3" t="s">
        <v>83</v>
      </c>
      <c r="C31" s="3">
        <v>49.42</v>
      </c>
      <c r="D31" s="3" t="s">
        <v>36</v>
      </c>
      <c r="E31" s="3">
        <v>25.5895833333333</v>
      </c>
      <c r="F31" s="3">
        <v>100.0</v>
      </c>
      <c r="G31" s="3">
        <f t="shared" si="2"/>
        <v>25.58958333</v>
      </c>
      <c r="H31" s="3">
        <v>2592.13924719903</v>
      </c>
      <c r="I31" s="3">
        <v>243.77320540362</v>
      </c>
      <c r="J31" s="3">
        <v>428.64684369579</v>
      </c>
      <c r="K31" s="3">
        <v>3264.55929629844</v>
      </c>
      <c r="L31" s="3">
        <f t="shared" si="3"/>
        <v>0.007838602706</v>
      </c>
      <c r="M31" s="3">
        <f t="shared" si="4"/>
        <v>0.007838602706</v>
      </c>
      <c r="N31" s="3">
        <f t="shared" si="5"/>
        <v>0.009871994092</v>
      </c>
      <c r="O31" s="3">
        <f t="shared" si="6"/>
        <v>0.1049729124</v>
      </c>
      <c r="P31" s="3">
        <f t="shared" si="7"/>
        <v>0.05969852271</v>
      </c>
      <c r="Q31" s="3">
        <f t="shared" si="8"/>
        <v>0.009871994092</v>
      </c>
      <c r="R31" s="3">
        <f t="shared" si="9"/>
        <v>0.1049729124</v>
      </c>
      <c r="S31" s="3">
        <f t="shared" ref="S31:T31" si="42">G31/J31</f>
        <v>0.05969852271</v>
      </c>
      <c r="T31" s="3">
        <f t="shared" si="42"/>
        <v>0.7940242501</v>
      </c>
      <c r="U31" s="3">
        <f t="shared" si="11"/>
        <v>0.07467262294</v>
      </c>
      <c r="V31" s="3">
        <f t="shared" si="12"/>
        <v>0.1313031269</v>
      </c>
      <c r="W31" s="3">
        <f t="shared" si="13"/>
        <v>127.5737574</v>
      </c>
      <c r="X31" s="3">
        <f t="shared" si="14"/>
        <v>127.5737574</v>
      </c>
      <c r="Y31" s="3"/>
      <c r="Z31" s="3"/>
    </row>
    <row r="32" ht="15.75" customHeight="1">
      <c r="A32" s="5" t="s">
        <v>84</v>
      </c>
      <c r="B32" s="5" t="s">
        <v>85</v>
      </c>
      <c r="C32" s="5">
        <v>100.0</v>
      </c>
      <c r="D32" s="5" t="s">
        <v>33</v>
      </c>
      <c r="E32" s="5">
        <v>34.69</v>
      </c>
      <c r="F32" s="5">
        <v>100.0</v>
      </c>
      <c r="G32" s="5">
        <f t="shared" si="2"/>
        <v>34.69</v>
      </c>
      <c r="H32" s="5">
        <v>4011.26821003582</v>
      </c>
      <c r="I32" s="5">
        <v>397.689677818081</v>
      </c>
      <c r="J32" s="5">
        <v>336.066853962631</v>
      </c>
      <c r="K32" s="5">
        <v>4745.024741816533</v>
      </c>
      <c r="L32" s="5">
        <f t="shared" si="3"/>
        <v>0.007310815409</v>
      </c>
      <c r="M32" s="5">
        <f t="shared" si="4"/>
        <v>0.007310815409</v>
      </c>
      <c r="N32" s="5">
        <f t="shared" si="5"/>
        <v>0.008648137742</v>
      </c>
      <c r="O32" s="5">
        <f t="shared" si="6"/>
        <v>0.08722881668</v>
      </c>
      <c r="P32" s="5">
        <f t="shared" si="7"/>
        <v>0.1032235092</v>
      </c>
      <c r="Q32" s="5">
        <f t="shared" si="8"/>
        <v>0.008648137742</v>
      </c>
      <c r="R32" s="5">
        <f t="shared" si="9"/>
        <v>0.08722881668</v>
      </c>
      <c r="S32" s="5">
        <f t="shared" ref="S32:T32" si="43">G32/J32</f>
        <v>0.1032235092</v>
      </c>
      <c r="T32" s="5">
        <f t="shared" si="43"/>
        <v>0.8453629703</v>
      </c>
      <c r="U32" s="5">
        <f t="shared" si="11"/>
        <v>0.08381192922</v>
      </c>
      <c r="V32" s="5">
        <f t="shared" si="12"/>
        <v>0.07082510045</v>
      </c>
      <c r="W32" s="5">
        <f t="shared" si="13"/>
        <v>136.7836478</v>
      </c>
      <c r="X32" s="5">
        <f t="shared" si="14"/>
        <v>136.7836478</v>
      </c>
    </row>
    <row r="33" ht="15.75" customHeight="1">
      <c r="A33" s="3" t="s">
        <v>86</v>
      </c>
      <c r="B33" s="3" t="s">
        <v>87</v>
      </c>
      <c r="C33" s="3">
        <v>36.53</v>
      </c>
      <c r="D33" s="3" t="s">
        <v>88</v>
      </c>
      <c r="E33" s="3">
        <v>16.9569994783401</v>
      </c>
      <c r="F33" s="3">
        <v>45.0</v>
      </c>
      <c r="G33" s="3">
        <f t="shared" si="2"/>
        <v>7.630649765</v>
      </c>
      <c r="H33" s="3">
        <v>979.514716765366</v>
      </c>
      <c r="I33" s="3">
        <v>0.0</v>
      </c>
      <c r="J33" s="3">
        <v>93.5414503667493</v>
      </c>
      <c r="K33" s="3">
        <v>1073.056167132115</v>
      </c>
      <c r="L33" s="3">
        <f t="shared" si="3"/>
        <v>0.0158025274</v>
      </c>
      <c r="M33" s="3">
        <f t="shared" si="4"/>
        <v>0.007111137328</v>
      </c>
      <c r="N33" s="3">
        <f t="shared" si="5"/>
        <v>0.01731163319</v>
      </c>
      <c r="O33" s="3" t="str">
        <f t="shared" si="6"/>
        <v>#DIV/0!</v>
      </c>
      <c r="P33" s="3">
        <f t="shared" si="7"/>
        <v>0.1812779192</v>
      </c>
      <c r="Q33" s="3">
        <f t="shared" si="8"/>
        <v>0.007790234934</v>
      </c>
      <c r="R33" s="3" t="str">
        <f t="shared" si="9"/>
        <v>#DIV/0!</v>
      </c>
      <c r="S33" s="3">
        <f t="shared" ref="S33:T33" si="44">G33/J33</f>
        <v>0.08157506363</v>
      </c>
      <c r="T33" s="3">
        <f t="shared" si="44"/>
        <v>0.9128270698</v>
      </c>
      <c r="U33" s="3">
        <f t="shared" si="11"/>
        <v>0</v>
      </c>
      <c r="V33" s="3">
        <f t="shared" si="12"/>
        <v>0.08717293021</v>
      </c>
      <c r="W33" s="3">
        <f t="shared" si="13"/>
        <v>63.2810167</v>
      </c>
      <c r="X33" s="3">
        <f t="shared" si="14"/>
        <v>140.6244816</v>
      </c>
      <c r="Y33" s="3"/>
      <c r="Z33" s="3"/>
    </row>
    <row r="34" ht="15.75" customHeight="1">
      <c r="A34" s="5" t="s">
        <v>89</v>
      </c>
      <c r="B34" s="5" t="s">
        <v>90</v>
      </c>
      <c r="C34" s="5">
        <v>100.0</v>
      </c>
      <c r="D34" s="5" t="s">
        <v>33</v>
      </c>
      <c r="E34" s="5">
        <v>35.5536133333333</v>
      </c>
      <c r="F34" s="5">
        <v>100.0</v>
      </c>
      <c r="G34" s="5">
        <f t="shared" si="2"/>
        <v>35.55361333</v>
      </c>
      <c r="H34" s="5">
        <v>4264.41046200854</v>
      </c>
      <c r="I34" s="5">
        <v>438.660008395035</v>
      </c>
      <c r="J34" s="5">
        <v>357.275288744589</v>
      </c>
      <c r="K34" s="5">
        <v>5060.345759148164</v>
      </c>
      <c r="L34" s="5">
        <f t="shared" si="3"/>
        <v>0.007025925703</v>
      </c>
      <c r="M34" s="5">
        <f t="shared" si="4"/>
        <v>0.007025925703</v>
      </c>
      <c r="N34" s="5">
        <f t="shared" si="5"/>
        <v>0.008337286865</v>
      </c>
      <c r="O34" s="5">
        <f t="shared" si="6"/>
        <v>0.08105050074</v>
      </c>
      <c r="P34" s="5">
        <f t="shared" si="7"/>
        <v>0.09951321699</v>
      </c>
      <c r="Q34" s="5">
        <f t="shared" si="8"/>
        <v>0.008337286865</v>
      </c>
      <c r="R34" s="5">
        <f t="shared" si="9"/>
        <v>0.08105050074</v>
      </c>
      <c r="S34" s="5">
        <f t="shared" ref="S34:T34" si="45">G34/J34</f>
        <v>0.09951321699</v>
      </c>
      <c r="T34" s="5">
        <f t="shared" si="45"/>
        <v>0.842711282</v>
      </c>
      <c r="U34" s="5">
        <f t="shared" si="11"/>
        <v>0.08668577786</v>
      </c>
      <c r="V34" s="5">
        <f t="shared" si="12"/>
        <v>0.07060294014</v>
      </c>
      <c r="W34" s="5">
        <f t="shared" si="13"/>
        <v>142.3299993</v>
      </c>
      <c r="X34" s="5">
        <f t="shared" si="14"/>
        <v>142.3299993</v>
      </c>
    </row>
    <row r="35" ht="15.75" customHeight="1">
      <c r="A35" s="5" t="s">
        <v>91</v>
      </c>
      <c r="B35" s="5" t="s">
        <v>92</v>
      </c>
      <c r="C35" s="5">
        <v>100.0</v>
      </c>
      <c r="D35" s="5" t="s">
        <v>26</v>
      </c>
      <c r="E35" s="5">
        <v>10.8291666666667</v>
      </c>
      <c r="F35" s="5">
        <v>100.0</v>
      </c>
      <c r="G35" s="5">
        <f t="shared" si="2"/>
        <v>10.82916667</v>
      </c>
      <c r="H35" s="5">
        <v>1145.51821651437</v>
      </c>
      <c r="I35" s="5">
        <v>340.779940506365</v>
      </c>
      <c r="J35" s="5">
        <v>186.502889111544</v>
      </c>
      <c r="K35" s="5">
        <v>1672.801046132279</v>
      </c>
      <c r="L35" s="5">
        <f t="shared" si="3"/>
        <v>0.006473672821</v>
      </c>
      <c r="M35" s="5">
        <f t="shared" si="4"/>
        <v>0.006473672821</v>
      </c>
      <c r="N35" s="5">
        <f t="shared" si="5"/>
        <v>0.00945350891</v>
      </c>
      <c r="O35" s="5">
        <f t="shared" si="6"/>
        <v>0.03177759422</v>
      </c>
      <c r="P35" s="5">
        <f t="shared" si="7"/>
        <v>0.05806433733</v>
      </c>
      <c r="Q35" s="5">
        <f t="shared" si="8"/>
        <v>0.00945350891</v>
      </c>
      <c r="R35" s="5">
        <f t="shared" si="9"/>
        <v>0.03177759422</v>
      </c>
      <c r="S35" s="5">
        <f t="shared" ref="S35:T35" si="46">G35/J35</f>
        <v>0.05806433733</v>
      </c>
      <c r="T35" s="5">
        <f t="shared" si="46"/>
        <v>0.6847904711</v>
      </c>
      <c r="U35" s="5">
        <f t="shared" si="11"/>
        <v>0.2037181536</v>
      </c>
      <c r="V35" s="5">
        <f t="shared" si="12"/>
        <v>0.1114913752</v>
      </c>
      <c r="W35" s="5">
        <f t="shared" si="13"/>
        <v>154.4718165</v>
      </c>
      <c r="X35" s="5">
        <f t="shared" si="14"/>
        <v>154.4718165</v>
      </c>
    </row>
    <row r="36" ht="15.75" customHeight="1">
      <c r="A36" s="5" t="s">
        <v>93</v>
      </c>
      <c r="B36" s="5" t="s">
        <v>94</v>
      </c>
      <c r="C36" s="5">
        <v>100.0</v>
      </c>
      <c r="D36" s="5" t="s">
        <v>26</v>
      </c>
      <c r="E36" s="5">
        <v>35.725</v>
      </c>
      <c r="F36" s="5">
        <v>100.0</v>
      </c>
      <c r="G36" s="5">
        <f t="shared" si="2"/>
        <v>35.725</v>
      </c>
      <c r="H36" s="5">
        <v>4652.2565387724</v>
      </c>
      <c r="I36" s="5">
        <v>435.195972250219</v>
      </c>
      <c r="J36" s="5">
        <v>589.586400273516</v>
      </c>
      <c r="K36" s="5">
        <v>5677.038911296135</v>
      </c>
      <c r="L36" s="5">
        <f t="shared" si="3"/>
        <v>0.006292893277</v>
      </c>
      <c r="M36" s="5">
        <f t="shared" si="4"/>
        <v>0.006292893277</v>
      </c>
      <c r="N36" s="5">
        <f t="shared" si="5"/>
        <v>0.007679069222</v>
      </c>
      <c r="O36" s="5">
        <f t="shared" si="6"/>
        <v>0.08208945459</v>
      </c>
      <c r="P36" s="5">
        <f t="shared" si="7"/>
        <v>0.06059332438</v>
      </c>
      <c r="Q36" s="5">
        <f t="shared" si="8"/>
        <v>0.007679069222</v>
      </c>
      <c r="R36" s="5">
        <f t="shared" si="9"/>
        <v>0.08208945459</v>
      </c>
      <c r="S36" s="5">
        <f t="shared" ref="S36:T36" si="47">G36/J36</f>
        <v>0.06059332438</v>
      </c>
      <c r="T36" s="5">
        <f t="shared" si="47"/>
        <v>0.8194864632</v>
      </c>
      <c r="U36" s="5">
        <f t="shared" si="11"/>
        <v>0.07665897293</v>
      </c>
      <c r="V36" s="5">
        <f t="shared" si="12"/>
        <v>0.1038545639</v>
      </c>
      <c r="W36" s="5">
        <f t="shared" si="13"/>
        <v>158.9094167</v>
      </c>
      <c r="X36" s="5">
        <f t="shared" si="14"/>
        <v>158.9094167</v>
      </c>
    </row>
    <row r="37" ht="15.75" customHeight="1">
      <c r="A37" s="3" t="s">
        <v>95</v>
      </c>
      <c r="B37" s="3" t="s">
        <v>42</v>
      </c>
      <c r="C37" s="3">
        <v>51.4</v>
      </c>
      <c r="D37" s="3" t="s">
        <v>96</v>
      </c>
      <c r="E37" s="3">
        <v>8.55625</v>
      </c>
      <c r="F37" s="3">
        <v>37.0</v>
      </c>
      <c r="G37" s="3">
        <f t="shared" si="2"/>
        <v>3.1658125</v>
      </c>
      <c r="H37" s="3">
        <v>306.713411584388</v>
      </c>
      <c r="I37" s="3">
        <v>168.487339282419</v>
      </c>
      <c r="J37" s="3">
        <v>38.496833898807</v>
      </c>
      <c r="K37" s="3">
        <v>513.697584765614</v>
      </c>
      <c r="L37" s="3">
        <f t="shared" si="3"/>
        <v>0.01665620056</v>
      </c>
      <c r="M37" s="3">
        <f t="shared" si="4"/>
        <v>0.006162794208</v>
      </c>
      <c r="N37" s="3">
        <f t="shared" si="5"/>
        <v>0.02789656297</v>
      </c>
      <c r="O37" s="3">
        <f t="shared" si="6"/>
        <v>0.05078274745</v>
      </c>
      <c r="P37" s="3">
        <f t="shared" si="7"/>
        <v>0.2222585375</v>
      </c>
      <c r="Q37" s="3">
        <f t="shared" si="8"/>
        <v>0.0103217283</v>
      </c>
      <c r="R37" s="3">
        <f t="shared" si="9"/>
        <v>0.01878961656</v>
      </c>
      <c r="S37" s="3">
        <f t="shared" ref="S37:T37" si="48">G37/J37</f>
        <v>0.08223565887</v>
      </c>
      <c r="T37" s="3">
        <f t="shared" si="48"/>
        <v>0.5970699896</v>
      </c>
      <c r="U37" s="3">
        <f t="shared" si="11"/>
        <v>0.3279893546</v>
      </c>
      <c r="V37" s="3">
        <f t="shared" si="12"/>
        <v>0.07494065583</v>
      </c>
      <c r="W37" s="3">
        <f t="shared" si="13"/>
        <v>60.03770165</v>
      </c>
      <c r="X37" s="3">
        <f t="shared" si="14"/>
        <v>162.2640585</v>
      </c>
      <c r="Y37" s="3"/>
      <c r="Z37" s="3"/>
    </row>
    <row r="38" ht="15.75" customHeight="1">
      <c r="A38" s="5" t="s">
        <v>97</v>
      </c>
      <c r="B38" s="5" t="s">
        <v>98</v>
      </c>
      <c r="C38" s="5">
        <v>100.0</v>
      </c>
      <c r="D38" s="5" t="s">
        <v>99</v>
      </c>
      <c r="E38" s="5">
        <v>26.2020833333333</v>
      </c>
      <c r="F38" s="5">
        <v>100.0</v>
      </c>
      <c r="G38" s="5">
        <f t="shared" si="2"/>
        <v>26.20208333</v>
      </c>
      <c r="H38" s="5">
        <v>3545.39494981384</v>
      </c>
      <c r="I38" s="5">
        <v>313.340547896255</v>
      </c>
      <c r="J38" s="5">
        <v>466.549596791946</v>
      </c>
      <c r="K38" s="5">
        <v>4325.285094502041</v>
      </c>
      <c r="L38" s="5">
        <f t="shared" si="3"/>
        <v>0.006057885841</v>
      </c>
      <c r="M38" s="5">
        <f t="shared" si="4"/>
        <v>0.006057885841</v>
      </c>
      <c r="N38" s="5">
        <f t="shared" si="5"/>
        <v>0.007390455423</v>
      </c>
      <c r="O38" s="5">
        <f t="shared" si="6"/>
        <v>0.08362174481</v>
      </c>
      <c r="P38" s="5">
        <f t="shared" si="7"/>
        <v>0.05616141031</v>
      </c>
      <c r="Q38" s="5">
        <f t="shared" si="8"/>
        <v>0.007390455423</v>
      </c>
      <c r="R38" s="5">
        <f t="shared" si="9"/>
        <v>0.08362174481</v>
      </c>
      <c r="S38" s="5">
        <f t="shared" ref="S38:T38" si="49">G38/J38</f>
        <v>0.05616141031</v>
      </c>
      <c r="T38" s="5">
        <f t="shared" si="49"/>
        <v>0.8196904649</v>
      </c>
      <c r="U38" s="5">
        <f t="shared" si="11"/>
        <v>0.07244390625</v>
      </c>
      <c r="V38" s="5">
        <f t="shared" si="12"/>
        <v>0.1078656289</v>
      </c>
      <c r="W38" s="5">
        <f t="shared" si="13"/>
        <v>165.0740912</v>
      </c>
      <c r="X38" s="5">
        <f t="shared" si="14"/>
        <v>165.0740912</v>
      </c>
    </row>
    <row r="39" ht="15.75" customHeight="1">
      <c r="A39" s="5" t="s">
        <v>100</v>
      </c>
      <c r="B39" s="5" t="s">
        <v>101</v>
      </c>
      <c r="C39" s="5">
        <v>61.57</v>
      </c>
      <c r="D39" s="5" t="s">
        <v>50</v>
      </c>
      <c r="E39" s="5">
        <v>20.1041666666667</v>
      </c>
      <c r="F39" s="5">
        <v>60.0</v>
      </c>
      <c r="G39" s="5">
        <f t="shared" si="2"/>
        <v>12.0625</v>
      </c>
      <c r="H39" s="5">
        <v>1316.56816557795</v>
      </c>
      <c r="I39" s="5">
        <v>204.797225659966</v>
      </c>
      <c r="J39" s="5">
        <v>496.426895940909</v>
      </c>
      <c r="K39" s="5">
        <v>2017.792287178825</v>
      </c>
      <c r="L39" s="5">
        <f t="shared" si="3"/>
        <v>0.009963447077</v>
      </c>
      <c r="M39" s="5">
        <f t="shared" si="4"/>
        <v>0.005978068246</v>
      </c>
      <c r="N39" s="5">
        <f t="shared" si="5"/>
        <v>0.01527012971</v>
      </c>
      <c r="O39" s="5">
        <f t="shared" si="6"/>
        <v>0.09816620612</v>
      </c>
      <c r="P39" s="5">
        <f t="shared" si="7"/>
        <v>0.0404977386</v>
      </c>
      <c r="Q39" s="5">
        <f t="shared" si="8"/>
        <v>0.009162077829</v>
      </c>
      <c r="R39" s="5">
        <f t="shared" si="9"/>
        <v>0.05889972367</v>
      </c>
      <c r="S39" s="5">
        <f t="shared" ref="S39:T39" si="50">G39/J39</f>
        <v>0.02429864316</v>
      </c>
      <c r="T39" s="5">
        <f t="shared" si="50"/>
        <v>0.6524795312</v>
      </c>
      <c r="U39" s="5">
        <f t="shared" si="11"/>
        <v>0.1014956926</v>
      </c>
      <c r="V39" s="5">
        <f t="shared" si="12"/>
        <v>0.2460247762</v>
      </c>
      <c r="W39" s="5">
        <f t="shared" si="13"/>
        <v>100.3668702</v>
      </c>
      <c r="X39" s="5">
        <f t="shared" si="14"/>
        <v>167.2781171</v>
      </c>
    </row>
    <row r="40" ht="15.75" customHeight="1">
      <c r="A40" s="5" t="s">
        <v>102</v>
      </c>
      <c r="B40" s="5" t="s">
        <v>103</v>
      </c>
      <c r="C40" s="5">
        <v>84.61</v>
      </c>
      <c r="D40" s="5" t="s">
        <v>44</v>
      </c>
      <c r="E40" s="5">
        <v>7.01086956521739</v>
      </c>
      <c r="F40" s="5">
        <v>50.0</v>
      </c>
      <c r="G40" s="5">
        <f t="shared" si="2"/>
        <v>3.505434783</v>
      </c>
      <c r="H40" s="5">
        <v>337.263004594771</v>
      </c>
      <c r="I40" s="5">
        <v>81.4295249416015</v>
      </c>
      <c r="J40" s="5">
        <v>170.310290112109</v>
      </c>
      <c r="K40" s="5">
        <v>589.0028196484815</v>
      </c>
      <c r="L40" s="5">
        <f t="shared" si="3"/>
        <v>0.01190294737</v>
      </c>
      <c r="M40" s="5">
        <f t="shared" si="4"/>
        <v>0.005951473687</v>
      </c>
      <c r="N40" s="5">
        <f t="shared" si="5"/>
        <v>0.02078754405</v>
      </c>
      <c r="O40" s="5">
        <f t="shared" si="6"/>
        <v>0.08609738999</v>
      </c>
      <c r="P40" s="5">
        <f t="shared" si="7"/>
        <v>0.04116527287</v>
      </c>
      <c r="Q40" s="5">
        <f t="shared" si="8"/>
        <v>0.01039377203</v>
      </c>
      <c r="R40" s="5">
        <f t="shared" si="9"/>
        <v>0.04304869499</v>
      </c>
      <c r="S40" s="5">
        <f t="shared" ref="S40:T40" si="51">G40/J40</f>
        <v>0.02058263644</v>
      </c>
      <c r="T40" s="5">
        <f t="shared" si="51"/>
        <v>0.5725999831</v>
      </c>
      <c r="U40" s="5">
        <f t="shared" si="11"/>
        <v>0.138249805</v>
      </c>
      <c r="V40" s="5">
        <f t="shared" si="12"/>
        <v>0.2891502119</v>
      </c>
      <c r="W40" s="5">
        <f t="shared" si="13"/>
        <v>84.01280528</v>
      </c>
      <c r="X40" s="5">
        <f t="shared" si="14"/>
        <v>168.0256106</v>
      </c>
    </row>
    <row r="41" ht="15.75" customHeight="1">
      <c r="A41" s="5" t="s">
        <v>104</v>
      </c>
      <c r="B41" s="5" t="s">
        <v>94</v>
      </c>
      <c r="C41" s="5">
        <v>100.0</v>
      </c>
      <c r="D41" s="5" t="s">
        <v>26</v>
      </c>
      <c r="E41" s="5">
        <v>33.7479166666667</v>
      </c>
      <c r="F41" s="5">
        <v>100.0</v>
      </c>
      <c r="G41" s="5">
        <f t="shared" si="2"/>
        <v>33.74791667</v>
      </c>
      <c r="H41" s="5">
        <v>4652.2565387724</v>
      </c>
      <c r="I41" s="5">
        <v>435.195972250219</v>
      </c>
      <c r="J41" s="5">
        <v>589.586400273516</v>
      </c>
      <c r="K41" s="5">
        <v>5677.038911296135</v>
      </c>
      <c r="L41" s="5">
        <f t="shared" si="3"/>
        <v>0.005944633672</v>
      </c>
      <c r="M41" s="5">
        <f t="shared" si="4"/>
        <v>0.005944633672</v>
      </c>
      <c r="N41" s="5">
        <f t="shared" si="5"/>
        <v>0.00725409624</v>
      </c>
      <c r="O41" s="5">
        <f t="shared" si="6"/>
        <v>0.07754648209</v>
      </c>
      <c r="P41" s="5">
        <f t="shared" si="7"/>
        <v>0.05723998493</v>
      </c>
      <c r="Q41" s="5">
        <f t="shared" si="8"/>
        <v>0.00725409624</v>
      </c>
      <c r="R41" s="5">
        <f t="shared" si="9"/>
        <v>0.07754648209</v>
      </c>
      <c r="S41" s="5">
        <f t="shared" ref="S41:T41" si="52">G41/J41</f>
        <v>0.05723998493</v>
      </c>
      <c r="T41" s="5">
        <f t="shared" si="52"/>
        <v>0.8194864632</v>
      </c>
      <c r="U41" s="5">
        <f t="shared" si="11"/>
        <v>0.07665897293</v>
      </c>
      <c r="V41" s="5">
        <f t="shared" si="12"/>
        <v>0.1038545639</v>
      </c>
      <c r="W41" s="5">
        <f t="shared" si="13"/>
        <v>168.2189442</v>
      </c>
      <c r="X41" s="5">
        <f t="shared" si="14"/>
        <v>168.2189442</v>
      </c>
    </row>
    <row r="42" ht="15.75" customHeight="1">
      <c r="A42" s="5" t="s">
        <v>105</v>
      </c>
      <c r="B42" s="5" t="s">
        <v>101</v>
      </c>
      <c r="C42" s="5">
        <v>57.65</v>
      </c>
      <c r="D42" s="5" t="s">
        <v>50</v>
      </c>
      <c r="E42" s="5">
        <v>19.981884057971</v>
      </c>
      <c r="F42" s="5">
        <v>60.0</v>
      </c>
      <c r="G42" s="5">
        <f t="shared" si="2"/>
        <v>11.98913043</v>
      </c>
      <c r="H42" s="5">
        <v>1316.56816557795</v>
      </c>
      <c r="I42" s="5">
        <v>204.797225659966</v>
      </c>
      <c r="J42" s="5">
        <v>496.426895940909</v>
      </c>
      <c r="K42" s="5">
        <v>2017.792287178825</v>
      </c>
      <c r="L42" s="5">
        <f t="shared" si="3"/>
        <v>0.009902844899</v>
      </c>
      <c r="M42" s="5">
        <f t="shared" si="4"/>
        <v>0.005941706939</v>
      </c>
      <c r="N42" s="5">
        <f t="shared" si="5"/>
        <v>0.0151772499</v>
      </c>
      <c r="O42" s="5">
        <f t="shared" si="6"/>
        <v>0.09756911498</v>
      </c>
      <c r="P42" s="5">
        <f t="shared" si="7"/>
        <v>0.04025141309</v>
      </c>
      <c r="Q42" s="5">
        <f t="shared" si="8"/>
        <v>0.009106349939</v>
      </c>
      <c r="R42" s="5">
        <f t="shared" si="9"/>
        <v>0.05854146899</v>
      </c>
      <c r="S42" s="5">
        <f t="shared" ref="S42:T42" si="53">G42/J42</f>
        <v>0.02415084785</v>
      </c>
      <c r="T42" s="5">
        <f t="shared" si="53"/>
        <v>0.6524795312</v>
      </c>
      <c r="U42" s="5">
        <f t="shared" si="11"/>
        <v>0.1014956926</v>
      </c>
      <c r="V42" s="5">
        <f t="shared" si="12"/>
        <v>0.2460247762</v>
      </c>
      <c r="W42" s="5">
        <f t="shared" si="13"/>
        <v>100.9810827</v>
      </c>
      <c r="X42" s="5">
        <f t="shared" si="14"/>
        <v>168.3018046</v>
      </c>
    </row>
    <row r="43" ht="15.75" customHeight="1">
      <c r="A43" s="3" t="s">
        <v>106</v>
      </c>
      <c r="B43" s="3" t="s">
        <v>83</v>
      </c>
      <c r="C43" s="3">
        <v>45.45</v>
      </c>
      <c r="D43" s="3" t="s">
        <v>36</v>
      </c>
      <c r="E43" s="3">
        <v>18.9666666666667</v>
      </c>
      <c r="F43" s="3">
        <v>100.0</v>
      </c>
      <c r="G43" s="3">
        <f t="shared" si="2"/>
        <v>18.96666667</v>
      </c>
      <c r="H43" s="3">
        <v>2592.13924719903</v>
      </c>
      <c r="I43" s="3">
        <v>243.77320540362</v>
      </c>
      <c r="J43" s="3">
        <v>428.64684369579</v>
      </c>
      <c r="K43" s="3">
        <v>3264.55929629844</v>
      </c>
      <c r="L43" s="3">
        <f t="shared" si="3"/>
        <v>0.005809870474</v>
      </c>
      <c r="M43" s="3">
        <f t="shared" si="4"/>
        <v>0.005809870474</v>
      </c>
      <c r="N43" s="3">
        <f t="shared" si="5"/>
        <v>0.007316993748</v>
      </c>
      <c r="O43" s="3">
        <f t="shared" si="6"/>
        <v>0.07780455869</v>
      </c>
      <c r="P43" s="3">
        <f t="shared" si="7"/>
        <v>0.04424776934</v>
      </c>
      <c r="Q43" s="3">
        <f t="shared" si="8"/>
        <v>0.007316993748</v>
      </c>
      <c r="R43" s="3">
        <f t="shared" si="9"/>
        <v>0.07780455869</v>
      </c>
      <c r="S43" s="3">
        <f t="shared" ref="S43:T43" si="54">G43/J43</f>
        <v>0.04424776934</v>
      </c>
      <c r="T43" s="3">
        <f t="shared" si="54"/>
        <v>0.7940242501</v>
      </c>
      <c r="U43" s="3">
        <f t="shared" si="11"/>
        <v>0.07467262294</v>
      </c>
      <c r="V43" s="3">
        <f t="shared" si="12"/>
        <v>0.1313031269</v>
      </c>
      <c r="W43" s="3">
        <f t="shared" si="13"/>
        <v>172.1208768</v>
      </c>
      <c r="X43" s="3">
        <f t="shared" si="14"/>
        <v>172.1208768</v>
      </c>
      <c r="Y43" s="3"/>
      <c r="Z43" s="3"/>
    </row>
    <row r="44" ht="15.75" customHeight="1">
      <c r="A44" s="5" t="s">
        <v>107</v>
      </c>
      <c r="B44" s="5" t="s">
        <v>94</v>
      </c>
      <c r="C44" s="5">
        <v>100.0</v>
      </c>
      <c r="D44" s="5" t="s">
        <v>26</v>
      </c>
      <c r="E44" s="5">
        <v>32.1333333333333</v>
      </c>
      <c r="F44" s="5">
        <v>100.0</v>
      </c>
      <c r="G44" s="5">
        <f t="shared" si="2"/>
        <v>32.13333333</v>
      </c>
      <c r="H44" s="5">
        <v>4652.2565387724</v>
      </c>
      <c r="I44" s="5">
        <v>435.195972250219</v>
      </c>
      <c r="J44" s="5">
        <v>589.586400273516</v>
      </c>
      <c r="K44" s="5">
        <v>5677.038911296135</v>
      </c>
      <c r="L44" s="5">
        <f t="shared" si="3"/>
        <v>0.005660227776</v>
      </c>
      <c r="M44" s="5">
        <f t="shared" si="4"/>
        <v>0.005660227776</v>
      </c>
      <c r="N44" s="5">
        <f t="shared" si="5"/>
        <v>0.006907042435</v>
      </c>
      <c r="O44" s="5">
        <f t="shared" si="6"/>
        <v>0.07383646767</v>
      </c>
      <c r="P44" s="5">
        <f t="shared" si="7"/>
        <v>0.05450148327</v>
      </c>
      <c r="Q44" s="5">
        <f t="shared" si="8"/>
        <v>0.006907042435</v>
      </c>
      <c r="R44" s="5">
        <f t="shared" si="9"/>
        <v>0.07383646767</v>
      </c>
      <c r="S44" s="5">
        <f t="shared" ref="S44:T44" si="55">G44/J44</f>
        <v>0.05450148327</v>
      </c>
      <c r="T44" s="5">
        <f t="shared" si="55"/>
        <v>0.8194864632</v>
      </c>
      <c r="U44" s="5">
        <f t="shared" si="11"/>
        <v>0.07665897293</v>
      </c>
      <c r="V44" s="5">
        <f t="shared" si="12"/>
        <v>0.1038545639</v>
      </c>
      <c r="W44" s="5">
        <f t="shared" si="13"/>
        <v>176.6713354</v>
      </c>
      <c r="X44" s="5">
        <f t="shared" si="14"/>
        <v>176.6713354</v>
      </c>
    </row>
    <row r="45" ht="15.75" customHeight="1">
      <c r="A45" s="5" t="s">
        <v>108</v>
      </c>
      <c r="B45" s="5" t="s">
        <v>94</v>
      </c>
      <c r="C45" s="5">
        <v>100.0</v>
      </c>
      <c r="D45" s="5" t="s">
        <v>26</v>
      </c>
      <c r="E45" s="5">
        <v>30.2229166666667</v>
      </c>
      <c r="F45" s="5">
        <v>100.0</v>
      </c>
      <c r="G45" s="5">
        <f t="shared" si="2"/>
        <v>30.22291667</v>
      </c>
      <c r="H45" s="5">
        <v>4652.2565387724</v>
      </c>
      <c r="I45" s="5">
        <v>435.195972250219</v>
      </c>
      <c r="J45" s="5">
        <v>589.586400273516</v>
      </c>
      <c r="K45" s="5">
        <v>5677.038911296135</v>
      </c>
      <c r="L45" s="5">
        <f t="shared" si="3"/>
        <v>0.005323711382</v>
      </c>
      <c r="M45" s="5">
        <f t="shared" si="4"/>
        <v>0.005323711382</v>
      </c>
      <c r="N45" s="5">
        <f t="shared" si="5"/>
        <v>0.006496399417</v>
      </c>
      <c r="O45" s="5">
        <f t="shared" si="6"/>
        <v>0.06944668286</v>
      </c>
      <c r="P45" s="5">
        <f t="shared" si="7"/>
        <v>0.05126121744</v>
      </c>
      <c r="Q45" s="5">
        <f t="shared" si="8"/>
        <v>0.006496399417</v>
      </c>
      <c r="R45" s="5">
        <f t="shared" si="9"/>
        <v>0.06944668286</v>
      </c>
      <c r="S45" s="5">
        <f t="shared" ref="S45:T45" si="56">G45/J45</f>
        <v>0.05126121744</v>
      </c>
      <c r="T45" s="5">
        <f t="shared" si="56"/>
        <v>0.8194864632</v>
      </c>
      <c r="U45" s="5">
        <f t="shared" si="11"/>
        <v>0.07665897293</v>
      </c>
      <c r="V45" s="5">
        <f t="shared" si="12"/>
        <v>0.1038545639</v>
      </c>
      <c r="W45" s="5">
        <f t="shared" si="13"/>
        <v>187.8388831</v>
      </c>
      <c r="X45" s="5">
        <f t="shared" si="14"/>
        <v>187.8388831</v>
      </c>
    </row>
    <row r="46" ht="15.75" customHeight="1">
      <c r="A46" s="5" t="s">
        <v>109</v>
      </c>
      <c r="B46" s="5" t="s">
        <v>94</v>
      </c>
      <c r="C46" s="5">
        <v>100.0</v>
      </c>
      <c r="D46" s="5" t="s">
        <v>26</v>
      </c>
      <c r="E46" s="5">
        <v>28.8895833333333</v>
      </c>
      <c r="F46" s="5">
        <v>100.0</v>
      </c>
      <c r="G46" s="5">
        <f t="shared" si="2"/>
        <v>28.88958333</v>
      </c>
      <c r="H46" s="5">
        <v>4652.2565387724</v>
      </c>
      <c r="I46" s="5">
        <v>435.195972250219</v>
      </c>
      <c r="J46" s="5">
        <v>589.586400273516</v>
      </c>
      <c r="K46" s="5">
        <v>5677.038911296135</v>
      </c>
      <c r="L46" s="5">
        <f t="shared" si="3"/>
        <v>0.005088847159</v>
      </c>
      <c r="M46" s="5">
        <f t="shared" si="4"/>
        <v>0.005088847159</v>
      </c>
      <c r="N46" s="5">
        <f t="shared" si="5"/>
        <v>0.006209800146</v>
      </c>
      <c r="O46" s="5">
        <f t="shared" si="6"/>
        <v>0.06638292901</v>
      </c>
      <c r="P46" s="5">
        <f t="shared" si="7"/>
        <v>0.04899974511</v>
      </c>
      <c r="Q46" s="5">
        <f t="shared" si="8"/>
        <v>0.006209800146</v>
      </c>
      <c r="R46" s="5">
        <f t="shared" si="9"/>
        <v>0.06638292901</v>
      </c>
      <c r="S46" s="5">
        <f t="shared" ref="S46:T46" si="57">G46/J46</f>
        <v>0.04899974511</v>
      </c>
      <c r="T46" s="5">
        <f t="shared" si="57"/>
        <v>0.8194864632</v>
      </c>
      <c r="U46" s="5">
        <f t="shared" si="11"/>
        <v>0.07665897293</v>
      </c>
      <c r="V46" s="5">
        <f t="shared" si="12"/>
        <v>0.1038545639</v>
      </c>
      <c r="W46" s="5">
        <f t="shared" si="13"/>
        <v>196.5081616</v>
      </c>
      <c r="X46" s="5">
        <f t="shared" si="14"/>
        <v>196.5081616</v>
      </c>
    </row>
    <row r="47" ht="15.75" customHeight="1">
      <c r="A47" s="3" t="s">
        <v>110</v>
      </c>
      <c r="B47" s="3" t="s">
        <v>111</v>
      </c>
      <c r="C47" s="3">
        <v>49.73</v>
      </c>
      <c r="D47" s="3" t="s">
        <v>26</v>
      </c>
      <c r="E47" s="3">
        <v>27.2833333333333</v>
      </c>
      <c r="F47" s="3">
        <v>100.0</v>
      </c>
      <c r="G47" s="3">
        <f t="shared" si="2"/>
        <v>27.28333333</v>
      </c>
      <c r="H47" s="3">
        <v>4694.70005807842</v>
      </c>
      <c r="I47" s="3">
        <v>465.44724904672</v>
      </c>
      <c r="J47" s="3">
        <v>393.325251816683</v>
      </c>
      <c r="K47" s="3">
        <v>5553.472558941822</v>
      </c>
      <c r="L47" s="3">
        <f t="shared" si="3"/>
        <v>0.004912842018</v>
      </c>
      <c r="M47" s="3">
        <f t="shared" si="4"/>
        <v>0.004912842018</v>
      </c>
      <c r="N47" s="3">
        <f t="shared" si="5"/>
        <v>0.005811517881</v>
      </c>
      <c r="O47" s="3">
        <f t="shared" si="6"/>
        <v>0.05861745534</v>
      </c>
      <c r="P47" s="3">
        <f t="shared" si="7"/>
        <v>0.06936583199</v>
      </c>
      <c r="Q47" s="3">
        <f t="shared" si="8"/>
        <v>0.005811517881</v>
      </c>
      <c r="R47" s="3">
        <f t="shared" si="9"/>
        <v>0.05861745534</v>
      </c>
      <c r="S47" s="3">
        <f t="shared" ref="S47:T47" si="58">G47/J47</f>
        <v>0.06936583199</v>
      </c>
      <c r="T47" s="3">
        <f t="shared" si="58"/>
        <v>0.8453629703</v>
      </c>
      <c r="U47" s="3">
        <f t="shared" si="11"/>
        <v>0.08381192922</v>
      </c>
      <c r="V47" s="3">
        <f t="shared" si="12"/>
        <v>0.07082510045</v>
      </c>
      <c r="W47" s="3">
        <f t="shared" si="13"/>
        <v>203.5481695</v>
      </c>
      <c r="X47" s="3">
        <f t="shared" si="14"/>
        <v>203.5481695</v>
      </c>
      <c r="Y47" s="3"/>
      <c r="Z47" s="3"/>
    </row>
    <row r="48" ht="15.75" customHeight="1">
      <c r="A48" s="5" t="s">
        <v>112</v>
      </c>
      <c r="B48" s="5" t="s">
        <v>83</v>
      </c>
      <c r="C48" s="5">
        <v>100.0</v>
      </c>
      <c r="D48" s="5" t="s">
        <v>113</v>
      </c>
      <c r="E48" s="5">
        <v>15.9</v>
      </c>
      <c r="F48" s="5">
        <v>100.0</v>
      </c>
      <c r="G48" s="5">
        <f t="shared" si="2"/>
        <v>15.9</v>
      </c>
      <c r="H48" s="5">
        <v>2592.13924719903</v>
      </c>
      <c r="I48" s="5">
        <v>243.77320540362</v>
      </c>
      <c r="J48" s="5">
        <v>428.64684369579</v>
      </c>
      <c r="K48" s="5">
        <v>3264.55929629844</v>
      </c>
      <c r="L48" s="5">
        <f t="shared" si="3"/>
        <v>0.004870488956</v>
      </c>
      <c r="M48" s="5">
        <f t="shared" si="4"/>
        <v>0.004870488956</v>
      </c>
      <c r="N48" s="5">
        <f t="shared" si="5"/>
        <v>0.006133929733</v>
      </c>
      <c r="O48" s="5">
        <f t="shared" si="6"/>
        <v>0.06522455974</v>
      </c>
      <c r="P48" s="5">
        <f t="shared" si="7"/>
        <v>0.03709347271</v>
      </c>
      <c r="Q48" s="5">
        <f t="shared" si="8"/>
        <v>0.006133929733</v>
      </c>
      <c r="R48" s="5">
        <f t="shared" si="9"/>
        <v>0.06522455974</v>
      </c>
      <c r="S48" s="5">
        <f t="shared" ref="S48:T48" si="59">G48/J48</f>
        <v>0.03709347271</v>
      </c>
      <c r="T48" s="5">
        <f t="shared" si="59"/>
        <v>0.7940242501</v>
      </c>
      <c r="U48" s="5">
        <f t="shared" si="11"/>
        <v>0.07467262294</v>
      </c>
      <c r="V48" s="5">
        <f t="shared" si="12"/>
        <v>0.1313031269</v>
      </c>
      <c r="W48" s="5">
        <f t="shared" si="13"/>
        <v>205.3181947</v>
      </c>
      <c r="X48" s="5">
        <f t="shared" si="14"/>
        <v>205.3181947</v>
      </c>
    </row>
    <row r="49" ht="15.75" customHeight="1">
      <c r="A49" s="5" t="s">
        <v>114</v>
      </c>
      <c r="B49" s="5" t="s">
        <v>83</v>
      </c>
      <c r="C49" s="5">
        <v>100.0</v>
      </c>
      <c r="D49" s="5" t="s">
        <v>113</v>
      </c>
      <c r="E49" s="5">
        <v>15.6166666666667</v>
      </c>
      <c r="F49" s="5">
        <v>100.0</v>
      </c>
      <c r="G49" s="5">
        <f t="shared" si="2"/>
        <v>15.61666667</v>
      </c>
      <c r="H49" s="5">
        <v>2592.13924719903</v>
      </c>
      <c r="I49" s="5">
        <v>243.77320540362</v>
      </c>
      <c r="J49" s="5">
        <v>428.64684369579</v>
      </c>
      <c r="K49" s="5">
        <v>3264.55929629844</v>
      </c>
      <c r="L49" s="5">
        <f t="shared" si="3"/>
        <v>0.004783698273</v>
      </c>
      <c r="M49" s="5">
        <f t="shared" si="4"/>
        <v>0.004783698273</v>
      </c>
      <c r="N49" s="5">
        <f t="shared" si="5"/>
        <v>0.006024624905</v>
      </c>
      <c r="O49" s="5">
        <f t="shared" si="6"/>
        <v>0.06406227723</v>
      </c>
      <c r="P49" s="5">
        <f t="shared" si="7"/>
        <v>0.03643247792</v>
      </c>
      <c r="Q49" s="5">
        <f t="shared" si="8"/>
        <v>0.006024624905</v>
      </c>
      <c r="R49" s="5">
        <f t="shared" si="9"/>
        <v>0.06406227723</v>
      </c>
      <c r="S49" s="5">
        <f t="shared" ref="S49:T49" si="60">G49/J49</f>
        <v>0.03643247792</v>
      </c>
      <c r="T49" s="5">
        <f t="shared" si="60"/>
        <v>0.7940242501</v>
      </c>
      <c r="U49" s="5">
        <f t="shared" si="11"/>
        <v>0.07467262294</v>
      </c>
      <c r="V49" s="5">
        <f t="shared" si="12"/>
        <v>0.1313031269</v>
      </c>
      <c r="W49" s="5">
        <f t="shared" si="13"/>
        <v>209.0432847</v>
      </c>
      <c r="X49" s="5">
        <f t="shared" si="14"/>
        <v>209.0432847</v>
      </c>
    </row>
    <row r="50" ht="15.75" customHeight="1">
      <c r="A50" s="5" t="s">
        <v>115</v>
      </c>
      <c r="B50" s="5" t="s">
        <v>60</v>
      </c>
      <c r="C50" s="5">
        <v>100.0</v>
      </c>
      <c r="D50" s="5" t="s">
        <v>61</v>
      </c>
      <c r="E50" s="5">
        <v>11.343</v>
      </c>
      <c r="F50" s="5">
        <v>90.0</v>
      </c>
      <c r="G50" s="5">
        <f t="shared" si="2"/>
        <v>10.2087</v>
      </c>
      <c r="H50" s="5">
        <v>2037.04209080111</v>
      </c>
      <c r="I50" s="5">
        <v>70.2940118996315</v>
      </c>
      <c r="J50" s="5">
        <v>37.3032684140618</v>
      </c>
      <c r="K50" s="5">
        <v>2144.639371114803</v>
      </c>
      <c r="L50" s="5">
        <f t="shared" si="3"/>
        <v>0.005289001103</v>
      </c>
      <c r="M50" s="5">
        <f t="shared" si="4"/>
        <v>0.004760100993</v>
      </c>
      <c r="N50" s="5">
        <f t="shared" si="5"/>
        <v>0.005568368003</v>
      </c>
      <c r="O50" s="5">
        <f t="shared" si="6"/>
        <v>0.1613650963</v>
      </c>
      <c r="P50" s="5">
        <f t="shared" si="7"/>
        <v>0.3040752321</v>
      </c>
      <c r="Q50" s="5">
        <f t="shared" si="8"/>
        <v>0.005011531203</v>
      </c>
      <c r="R50" s="5">
        <f t="shared" si="9"/>
        <v>0.1452285867</v>
      </c>
      <c r="S50" s="5">
        <f t="shared" ref="S50:T50" si="61">G50/J50</f>
        <v>0.2736677089</v>
      </c>
      <c r="T50" s="5">
        <f t="shared" si="61"/>
        <v>0.9498296629</v>
      </c>
      <c r="U50" s="5">
        <f t="shared" si="11"/>
        <v>0.0327766117</v>
      </c>
      <c r="V50" s="5">
        <f t="shared" si="12"/>
        <v>0.01739372545</v>
      </c>
      <c r="W50" s="5">
        <f t="shared" si="13"/>
        <v>189.0716187</v>
      </c>
      <c r="X50" s="5">
        <f t="shared" si="14"/>
        <v>210.0795764</v>
      </c>
    </row>
    <row r="51" ht="15.75" customHeight="1">
      <c r="A51" s="5" t="s">
        <v>116</v>
      </c>
      <c r="B51" s="5" t="s">
        <v>90</v>
      </c>
      <c r="C51" s="5">
        <v>100.0</v>
      </c>
      <c r="D51" s="5" t="s">
        <v>33</v>
      </c>
      <c r="E51" s="5">
        <v>22.6617604064941</v>
      </c>
      <c r="F51" s="5">
        <v>100.0</v>
      </c>
      <c r="G51" s="5">
        <f t="shared" si="2"/>
        <v>22.66176041</v>
      </c>
      <c r="H51" s="5">
        <v>4264.41046200854</v>
      </c>
      <c r="I51" s="5">
        <v>438.660008395035</v>
      </c>
      <c r="J51" s="5">
        <v>357.275288744589</v>
      </c>
      <c r="K51" s="5">
        <v>5060.345759148164</v>
      </c>
      <c r="L51" s="5">
        <f t="shared" si="3"/>
        <v>0.004478302765</v>
      </c>
      <c r="M51" s="5">
        <f t="shared" si="4"/>
        <v>0.004478302765</v>
      </c>
      <c r="N51" s="5">
        <f t="shared" si="5"/>
        <v>0.005314160212</v>
      </c>
      <c r="O51" s="5">
        <f t="shared" si="6"/>
        <v>0.05166133218</v>
      </c>
      <c r="P51" s="5">
        <f t="shared" si="7"/>
        <v>0.06342940898</v>
      </c>
      <c r="Q51" s="5">
        <f t="shared" si="8"/>
        <v>0.005314160212</v>
      </c>
      <c r="R51" s="5">
        <f t="shared" si="9"/>
        <v>0.05166133218</v>
      </c>
      <c r="S51" s="5">
        <f t="shared" ref="S51:T51" si="62">G51/J51</f>
        <v>0.06342940898</v>
      </c>
      <c r="T51" s="5">
        <f t="shared" si="62"/>
        <v>0.842711282</v>
      </c>
      <c r="U51" s="5">
        <f t="shared" si="11"/>
        <v>0.08668577786</v>
      </c>
      <c r="V51" s="5">
        <f t="shared" si="12"/>
        <v>0.07060294014</v>
      </c>
      <c r="W51" s="5">
        <f t="shared" si="13"/>
        <v>223.2988818</v>
      </c>
      <c r="X51" s="5">
        <f t="shared" si="14"/>
        <v>223.2988818</v>
      </c>
    </row>
    <row r="52" ht="15.75" customHeight="1">
      <c r="A52" s="5" t="s">
        <v>117</v>
      </c>
      <c r="B52" s="5" t="s">
        <v>90</v>
      </c>
      <c r="C52" s="5">
        <v>100.0</v>
      </c>
      <c r="D52" s="5" t="s">
        <v>33</v>
      </c>
      <c r="E52" s="5">
        <v>22.6490004062653</v>
      </c>
      <c r="F52" s="5">
        <v>100.0</v>
      </c>
      <c r="G52" s="5">
        <f t="shared" si="2"/>
        <v>22.64900041</v>
      </c>
      <c r="H52" s="5">
        <v>4264.41046200854</v>
      </c>
      <c r="I52" s="5">
        <v>438.660008395035</v>
      </c>
      <c r="J52" s="5">
        <v>357.275288744589</v>
      </c>
      <c r="K52" s="5">
        <v>5060.345759148164</v>
      </c>
      <c r="L52" s="5">
        <f t="shared" si="3"/>
        <v>0.004475781198</v>
      </c>
      <c r="M52" s="5">
        <f t="shared" si="4"/>
        <v>0.004475781198</v>
      </c>
      <c r="N52" s="5">
        <f t="shared" si="5"/>
        <v>0.005311168005</v>
      </c>
      <c r="O52" s="5">
        <f t="shared" si="6"/>
        <v>0.05163224359</v>
      </c>
      <c r="P52" s="5">
        <f t="shared" si="7"/>
        <v>0.06339369422</v>
      </c>
      <c r="Q52" s="5">
        <f t="shared" si="8"/>
        <v>0.005311168005</v>
      </c>
      <c r="R52" s="5">
        <f t="shared" si="9"/>
        <v>0.05163224359</v>
      </c>
      <c r="S52" s="5">
        <f t="shared" ref="S52:T52" si="63">G52/J52</f>
        <v>0.06339369422</v>
      </c>
      <c r="T52" s="5">
        <f t="shared" si="63"/>
        <v>0.842711282</v>
      </c>
      <c r="U52" s="5">
        <f t="shared" si="11"/>
        <v>0.08668577786</v>
      </c>
      <c r="V52" s="5">
        <f t="shared" si="12"/>
        <v>0.07060294014</v>
      </c>
      <c r="W52" s="5">
        <f t="shared" si="13"/>
        <v>223.424684</v>
      </c>
      <c r="X52" s="5">
        <f t="shared" si="14"/>
        <v>223.424684</v>
      </c>
    </row>
    <row r="53" ht="15.75" customHeight="1">
      <c r="A53" s="5" t="s">
        <v>118</v>
      </c>
      <c r="B53" s="5" t="s">
        <v>83</v>
      </c>
      <c r="C53" s="5">
        <v>100.0</v>
      </c>
      <c r="D53" s="5" t="s">
        <v>113</v>
      </c>
      <c r="E53" s="5">
        <v>13.6875</v>
      </c>
      <c r="F53" s="5">
        <v>100.0</v>
      </c>
      <c r="G53" s="5">
        <f t="shared" si="2"/>
        <v>13.6875</v>
      </c>
      <c r="H53" s="5">
        <v>2592.13924719903</v>
      </c>
      <c r="I53" s="5">
        <v>243.77320540362</v>
      </c>
      <c r="J53" s="5">
        <v>428.64684369579</v>
      </c>
      <c r="K53" s="5">
        <v>3264.55929629844</v>
      </c>
      <c r="L53" s="5">
        <f t="shared" si="3"/>
        <v>0.004192755823</v>
      </c>
      <c r="M53" s="5">
        <f t="shared" si="4"/>
        <v>0.004192755823</v>
      </c>
      <c r="N53" s="5">
        <f t="shared" si="5"/>
        <v>0.005280387624</v>
      </c>
      <c r="O53" s="5">
        <f t="shared" si="6"/>
        <v>0.05614850072</v>
      </c>
      <c r="P53" s="5">
        <f t="shared" si="7"/>
        <v>0.03193188099</v>
      </c>
      <c r="Q53" s="5">
        <f t="shared" si="8"/>
        <v>0.005280387624</v>
      </c>
      <c r="R53" s="5">
        <f t="shared" si="9"/>
        <v>0.05614850072</v>
      </c>
      <c r="S53" s="5">
        <f t="shared" ref="S53:T53" si="64">G53/J53</f>
        <v>0.03193188099</v>
      </c>
      <c r="T53" s="5">
        <f t="shared" si="64"/>
        <v>0.7940242501</v>
      </c>
      <c r="U53" s="5">
        <f t="shared" si="11"/>
        <v>0.07467262294</v>
      </c>
      <c r="V53" s="5">
        <f t="shared" si="12"/>
        <v>0.1313031269</v>
      </c>
      <c r="W53" s="5">
        <f t="shared" si="13"/>
        <v>238.5066153</v>
      </c>
      <c r="X53" s="5">
        <f t="shared" si="14"/>
        <v>238.5066153</v>
      </c>
    </row>
    <row r="54" ht="15.75" customHeight="1">
      <c r="A54" s="5" t="s">
        <v>119</v>
      </c>
      <c r="B54" s="5" t="s">
        <v>90</v>
      </c>
      <c r="C54" s="5">
        <v>100.0</v>
      </c>
      <c r="D54" s="5" t="s">
        <v>33</v>
      </c>
      <c r="E54" s="5">
        <v>21.2113737138112</v>
      </c>
      <c r="F54" s="5">
        <v>100.0</v>
      </c>
      <c r="G54" s="5">
        <f t="shared" si="2"/>
        <v>21.21137371</v>
      </c>
      <c r="H54" s="5">
        <v>4264.41046200854</v>
      </c>
      <c r="I54" s="5">
        <v>438.660008395035</v>
      </c>
      <c r="J54" s="5">
        <v>357.275288744589</v>
      </c>
      <c r="K54" s="5">
        <v>5060.345759148164</v>
      </c>
      <c r="L54" s="5">
        <f t="shared" si="3"/>
        <v>0.004191684664</v>
      </c>
      <c r="M54" s="5">
        <f t="shared" si="4"/>
        <v>0.004191684664</v>
      </c>
      <c r="N54" s="5">
        <f t="shared" si="5"/>
        <v>0.00497404598</v>
      </c>
      <c r="O54" s="5">
        <f t="shared" si="6"/>
        <v>0.04835492935</v>
      </c>
      <c r="P54" s="5">
        <f t="shared" si="7"/>
        <v>0.05936983156</v>
      </c>
      <c r="Q54" s="5">
        <f t="shared" si="8"/>
        <v>0.00497404598</v>
      </c>
      <c r="R54" s="5">
        <f t="shared" si="9"/>
        <v>0.04835492935</v>
      </c>
      <c r="S54" s="5">
        <f t="shared" ref="S54:T54" si="65">G54/J54</f>
        <v>0.05936983156</v>
      </c>
      <c r="T54" s="5">
        <f t="shared" si="65"/>
        <v>0.842711282</v>
      </c>
      <c r="U54" s="5">
        <f t="shared" si="11"/>
        <v>0.08668577786</v>
      </c>
      <c r="V54" s="5">
        <f t="shared" si="12"/>
        <v>0.07060294014</v>
      </c>
      <c r="W54" s="5">
        <f t="shared" si="13"/>
        <v>238.5675641</v>
      </c>
      <c r="X54" s="5">
        <f t="shared" si="14"/>
        <v>238.5675641</v>
      </c>
    </row>
    <row r="55" ht="15.75" customHeight="1">
      <c r="A55" s="5" t="s">
        <v>120</v>
      </c>
      <c r="B55" s="5" t="s">
        <v>98</v>
      </c>
      <c r="C55" s="5">
        <v>100.0</v>
      </c>
      <c r="D55" s="5" t="s">
        <v>99</v>
      </c>
      <c r="E55" s="5">
        <v>18.0833333333333</v>
      </c>
      <c r="F55" s="5">
        <v>100.0</v>
      </c>
      <c r="G55" s="5">
        <f t="shared" si="2"/>
        <v>18.08333333</v>
      </c>
      <c r="H55" s="5">
        <v>3545.39494981384</v>
      </c>
      <c r="I55" s="5">
        <v>313.340547896255</v>
      </c>
      <c r="J55" s="5">
        <v>466.549596791946</v>
      </c>
      <c r="K55" s="5">
        <v>4325.285094502041</v>
      </c>
      <c r="L55" s="5">
        <f t="shared" si="3"/>
        <v>0.004180841942</v>
      </c>
      <c r="M55" s="5">
        <f t="shared" si="4"/>
        <v>0.004180841942</v>
      </c>
      <c r="N55" s="5">
        <f t="shared" si="5"/>
        <v>0.005100513085</v>
      </c>
      <c r="O55" s="5">
        <f t="shared" si="6"/>
        <v>0.05771143714</v>
      </c>
      <c r="P55" s="5">
        <f t="shared" si="7"/>
        <v>0.03875972342</v>
      </c>
      <c r="Q55" s="5">
        <f t="shared" si="8"/>
        <v>0.005100513085</v>
      </c>
      <c r="R55" s="5">
        <f t="shared" si="9"/>
        <v>0.05771143714</v>
      </c>
      <c r="S55" s="5">
        <f t="shared" ref="S55:T55" si="66">G55/J55</f>
        <v>0.03875972342</v>
      </c>
      <c r="T55" s="5">
        <f t="shared" si="66"/>
        <v>0.8196904649</v>
      </c>
      <c r="U55" s="5">
        <f t="shared" si="11"/>
        <v>0.07244390625</v>
      </c>
      <c r="V55" s="5">
        <f t="shared" si="12"/>
        <v>0.1078656289</v>
      </c>
      <c r="W55" s="5">
        <f t="shared" si="13"/>
        <v>239.1862725</v>
      </c>
      <c r="X55" s="5">
        <f t="shared" si="14"/>
        <v>239.1862725</v>
      </c>
    </row>
    <row r="56" ht="15.75" customHeight="1">
      <c r="A56" s="5" t="s">
        <v>121</v>
      </c>
      <c r="B56" s="5" t="s">
        <v>83</v>
      </c>
      <c r="C56" s="5">
        <v>100.0</v>
      </c>
      <c r="D56" s="5" t="s">
        <v>113</v>
      </c>
      <c r="E56" s="5">
        <v>13.4479166666667</v>
      </c>
      <c r="F56" s="5">
        <v>100.0</v>
      </c>
      <c r="G56" s="5">
        <f t="shared" si="2"/>
        <v>13.44791667</v>
      </c>
      <c r="H56" s="5">
        <v>2592.13924719903</v>
      </c>
      <c r="I56" s="5">
        <v>243.77320540362</v>
      </c>
      <c r="J56" s="5">
        <v>428.64684369579</v>
      </c>
      <c r="K56" s="5">
        <v>3264.55929629844</v>
      </c>
      <c r="L56" s="5">
        <f t="shared" si="3"/>
        <v>0.004119366642</v>
      </c>
      <c r="M56" s="5">
        <f t="shared" si="4"/>
        <v>0.004119366642</v>
      </c>
      <c r="N56" s="5">
        <f t="shared" si="5"/>
        <v>0.005187960748</v>
      </c>
      <c r="O56" s="5">
        <f t="shared" si="6"/>
        <v>0.05516568831</v>
      </c>
      <c r="P56" s="5">
        <f t="shared" si="7"/>
        <v>0.03137295157</v>
      </c>
      <c r="Q56" s="5">
        <f t="shared" si="8"/>
        <v>0.005187960748</v>
      </c>
      <c r="R56" s="5">
        <f t="shared" si="9"/>
        <v>0.05516568831</v>
      </c>
      <c r="S56" s="5">
        <f t="shared" ref="S56:T56" si="67">G56/J56</f>
        <v>0.03137295157</v>
      </c>
      <c r="T56" s="5">
        <f t="shared" si="67"/>
        <v>0.7940242501</v>
      </c>
      <c r="U56" s="5">
        <f t="shared" si="11"/>
        <v>0.07467262294</v>
      </c>
      <c r="V56" s="5">
        <f t="shared" si="12"/>
        <v>0.1313031269</v>
      </c>
      <c r="W56" s="5">
        <f t="shared" si="13"/>
        <v>242.7557649</v>
      </c>
      <c r="X56" s="5">
        <f t="shared" si="14"/>
        <v>242.7557649</v>
      </c>
    </row>
    <row r="57" ht="15.75" customHeight="1">
      <c r="A57" s="5" t="s">
        <v>122</v>
      </c>
      <c r="B57" s="5" t="s">
        <v>94</v>
      </c>
      <c r="C57" s="5">
        <v>100.0</v>
      </c>
      <c r="D57" s="5" t="s">
        <v>26</v>
      </c>
      <c r="E57" s="5">
        <v>23.16875</v>
      </c>
      <c r="F57" s="5">
        <v>100.0</v>
      </c>
      <c r="G57" s="5">
        <f t="shared" si="2"/>
        <v>23.16875</v>
      </c>
      <c r="H57" s="5">
        <v>4652.2565387724</v>
      </c>
      <c r="I57" s="5">
        <v>435.195972250219</v>
      </c>
      <c r="J57" s="5">
        <v>589.586400273516</v>
      </c>
      <c r="K57" s="5">
        <v>5677.038911296135</v>
      </c>
      <c r="L57" s="5">
        <f t="shared" si="3"/>
        <v>0.004081132851</v>
      </c>
      <c r="M57" s="5">
        <f t="shared" si="4"/>
        <v>0.004081132851</v>
      </c>
      <c r="N57" s="5">
        <f t="shared" si="5"/>
        <v>0.004980110148</v>
      </c>
      <c r="O57" s="5">
        <f t="shared" si="6"/>
        <v>0.05323751017</v>
      </c>
      <c r="P57" s="5">
        <f t="shared" si="7"/>
        <v>0.03929661537</v>
      </c>
      <c r="Q57" s="5">
        <f t="shared" si="8"/>
        <v>0.004980110148</v>
      </c>
      <c r="R57" s="5">
        <f t="shared" si="9"/>
        <v>0.05323751017</v>
      </c>
      <c r="S57" s="5">
        <f t="shared" ref="S57:T57" si="68">G57/J57</f>
        <v>0.03929661537</v>
      </c>
      <c r="T57" s="5">
        <f t="shared" si="68"/>
        <v>0.8194864632</v>
      </c>
      <c r="U57" s="5">
        <f t="shared" si="11"/>
        <v>0.07665897293</v>
      </c>
      <c r="V57" s="5">
        <f t="shared" si="12"/>
        <v>0.1038545639</v>
      </c>
      <c r="W57" s="5">
        <f t="shared" si="13"/>
        <v>245.0300043</v>
      </c>
      <c r="X57" s="5">
        <f t="shared" si="14"/>
        <v>245.0300043</v>
      </c>
    </row>
    <row r="58" ht="15.75" customHeight="1">
      <c r="A58" s="5" t="s">
        <v>123</v>
      </c>
      <c r="B58" s="5" t="s">
        <v>83</v>
      </c>
      <c r="C58" s="5">
        <v>100.0</v>
      </c>
      <c r="D58" s="5" t="s">
        <v>113</v>
      </c>
      <c r="E58" s="5">
        <v>13.29375</v>
      </c>
      <c r="F58" s="5">
        <v>100.0</v>
      </c>
      <c r="G58" s="5">
        <f t="shared" si="2"/>
        <v>13.29375</v>
      </c>
      <c r="H58" s="5">
        <v>2592.13924719903</v>
      </c>
      <c r="I58" s="5">
        <v>243.77320540362</v>
      </c>
      <c r="J58" s="5">
        <v>428.64684369579</v>
      </c>
      <c r="K58" s="5">
        <v>3264.55929629844</v>
      </c>
      <c r="L58" s="5">
        <f t="shared" si="3"/>
        <v>0.0040721423</v>
      </c>
      <c r="M58" s="5">
        <f t="shared" si="4"/>
        <v>0.0040721423</v>
      </c>
      <c r="N58" s="5">
        <f t="shared" si="5"/>
        <v>0.005128486062</v>
      </c>
      <c r="O58" s="5">
        <f t="shared" si="6"/>
        <v>0.05453326988</v>
      </c>
      <c r="P58" s="5">
        <f t="shared" si="7"/>
        <v>0.03101329263</v>
      </c>
      <c r="Q58" s="5">
        <f t="shared" si="8"/>
        <v>0.005128486062</v>
      </c>
      <c r="R58" s="5">
        <f t="shared" si="9"/>
        <v>0.05453326988</v>
      </c>
      <c r="S58" s="5">
        <f t="shared" ref="S58:T58" si="69">G58/J58</f>
        <v>0.03101329263</v>
      </c>
      <c r="T58" s="5">
        <f t="shared" si="69"/>
        <v>0.7940242501</v>
      </c>
      <c r="U58" s="5">
        <f t="shared" si="11"/>
        <v>0.07467262294</v>
      </c>
      <c r="V58" s="5">
        <f t="shared" si="12"/>
        <v>0.1313031269</v>
      </c>
      <c r="W58" s="5">
        <f t="shared" si="13"/>
        <v>245.5709861</v>
      </c>
      <c r="X58" s="5">
        <f t="shared" si="14"/>
        <v>245.5709861</v>
      </c>
    </row>
    <row r="59" ht="15.75" customHeight="1">
      <c r="A59" s="5" t="s">
        <v>124</v>
      </c>
      <c r="B59" s="5" t="s">
        <v>125</v>
      </c>
      <c r="C59" s="5">
        <v>100.0</v>
      </c>
      <c r="D59" s="5" t="s">
        <v>33</v>
      </c>
      <c r="E59" s="5">
        <v>7.67</v>
      </c>
      <c r="F59" s="5">
        <v>100.0</v>
      </c>
      <c r="G59" s="5">
        <f t="shared" si="2"/>
        <v>7.67</v>
      </c>
      <c r="H59" s="5">
        <v>1604.50728401433</v>
      </c>
      <c r="I59" s="5">
        <v>164.075871127232</v>
      </c>
      <c r="J59" s="5">
        <v>134.426741585052</v>
      </c>
      <c r="K59" s="5">
        <v>1903.009896726614</v>
      </c>
      <c r="L59" s="5">
        <f t="shared" si="3"/>
        <v>0.004030457232</v>
      </c>
      <c r="M59" s="5">
        <f t="shared" si="4"/>
        <v>0.004030457232</v>
      </c>
      <c r="N59" s="5">
        <f t="shared" si="5"/>
        <v>0.00478028369</v>
      </c>
      <c r="O59" s="5">
        <f t="shared" si="6"/>
        <v>0.04674666633</v>
      </c>
      <c r="P59" s="5">
        <f t="shared" si="7"/>
        <v>0.05705709972</v>
      </c>
      <c r="Q59" s="5">
        <f t="shared" si="8"/>
        <v>0.00478028369</v>
      </c>
      <c r="R59" s="5">
        <f t="shared" si="9"/>
        <v>0.04674666633</v>
      </c>
      <c r="S59" s="5">
        <f t="shared" ref="S59:T59" si="70">G59/J59</f>
        <v>0.05705709972</v>
      </c>
      <c r="T59" s="5">
        <f t="shared" si="70"/>
        <v>0.8431418495</v>
      </c>
      <c r="U59" s="5">
        <f t="shared" si="11"/>
        <v>0.08621913707</v>
      </c>
      <c r="V59" s="5">
        <f t="shared" si="12"/>
        <v>0.07063901339</v>
      </c>
      <c r="W59" s="5">
        <f t="shared" si="13"/>
        <v>248.1108079</v>
      </c>
      <c r="X59" s="5">
        <f t="shared" si="14"/>
        <v>248.1108079</v>
      </c>
    </row>
    <row r="60" ht="15.75" customHeight="1">
      <c r="A60" s="5" t="s">
        <v>126</v>
      </c>
      <c r="B60" s="5" t="s">
        <v>83</v>
      </c>
      <c r="C60" s="5">
        <v>100.0</v>
      </c>
      <c r="D60" s="5" t="s">
        <v>113</v>
      </c>
      <c r="E60" s="5">
        <v>13.03</v>
      </c>
      <c r="F60" s="5">
        <v>100.0</v>
      </c>
      <c r="G60" s="5">
        <f t="shared" si="2"/>
        <v>13.03</v>
      </c>
      <c r="H60" s="5">
        <v>2592.13924719903</v>
      </c>
      <c r="I60" s="5">
        <v>243.77320540362</v>
      </c>
      <c r="J60" s="5">
        <v>428.64684369579</v>
      </c>
      <c r="K60" s="5">
        <v>3264.55929629844</v>
      </c>
      <c r="L60" s="5">
        <f t="shared" si="3"/>
        <v>0.003991350384</v>
      </c>
      <c r="M60" s="5">
        <f t="shared" si="4"/>
        <v>0.003991350384</v>
      </c>
      <c r="N60" s="5">
        <f t="shared" si="5"/>
        <v>0.005026736127</v>
      </c>
      <c r="O60" s="5">
        <f t="shared" si="6"/>
        <v>0.0534513216</v>
      </c>
      <c r="P60" s="5">
        <f t="shared" si="7"/>
        <v>0.03039798424</v>
      </c>
      <c r="Q60" s="5">
        <f t="shared" si="8"/>
        <v>0.005026736127</v>
      </c>
      <c r="R60" s="5">
        <f t="shared" si="9"/>
        <v>0.0534513216</v>
      </c>
      <c r="S60" s="5">
        <f t="shared" ref="S60:T60" si="71">G60/J60</f>
        <v>0.03039798424</v>
      </c>
      <c r="T60" s="5">
        <f t="shared" si="71"/>
        <v>0.7940242501</v>
      </c>
      <c r="U60" s="5">
        <f t="shared" si="11"/>
        <v>0.07467262294</v>
      </c>
      <c r="V60" s="5">
        <f t="shared" si="12"/>
        <v>0.1313031269</v>
      </c>
      <c r="W60" s="5">
        <f t="shared" si="13"/>
        <v>250.5417725</v>
      </c>
      <c r="X60" s="5">
        <f t="shared" si="14"/>
        <v>250.5417725</v>
      </c>
    </row>
    <row r="61" ht="15.75" customHeight="1">
      <c r="A61" s="5" t="s">
        <v>127</v>
      </c>
      <c r="B61" s="5" t="s">
        <v>94</v>
      </c>
      <c r="C61" s="5">
        <v>100.0</v>
      </c>
      <c r="D61" s="5" t="s">
        <v>26</v>
      </c>
      <c r="E61" s="5">
        <v>22.6041666666667</v>
      </c>
      <c r="F61" s="5">
        <v>100.0</v>
      </c>
      <c r="G61" s="5">
        <f t="shared" si="2"/>
        <v>22.60416667</v>
      </c>
      <c r="H61" s="5">
        <v>4652.2565387724</v>
      </c>
      <c r="I61" s="5">
        <v>435.195972250219</v>
      </c>
      <c r="J61" s="5">
        <v>589.586400273516</v>
      </c>
      <c r="K61" s="5">
        <v>5677.038911296135</v>
      </c>
      <c r="L61" s="5">
        <f t="shared" si="3"/>
        <v>0.003981682532</v>
      </c>
      <c r="M61" s="5">
        <f t="shared" si="4"/>
        <v>0.003981682532</v>
      </c>
      <c r="N61" s="5">
        <f t="shared" si="5"/>
        <v>0.004858753269</v>
      </c>
      <c r="O61" s="5">
        <f t="shared" si="6"/>
        <v>0.0519402019</v>
      </c>
      <c r="P61" s="5">
        <f t="shared" si="7"/>
        <v>0.03833902318</v>
      </c>
      <c r="Q61" s="5">
        <f t="shared" si="8"/>
        <v>0.004858753269</v>
      </c>
      <c r="R61" s="5">
        <f t="shared" si="9"/>
        <v>0.0519402019</v>
      </c>
      <c r="S61" s="5">
        <f t="shared" ref="S61:T61" si="72">G61/J61</f>
        <v>0.03833902318</v>
      </c>
      <c r="T61" s="5">
        <f t="shared" si="72"/>
        <v>0.8194864632</v>
      </c>
      <c r="U61" s="5">
        <f t="shared" si="11"/>
        <v>0.07665897293</v>
      </c>
      <c r="V61" s="5">
        <f t="shared" si="12"/>
        <v>0.1038545639</v>
      </c>
      <c r="W61" s="5">
        <f t="shared" si="13"/>
        <v>251.1501085</v>
      </c>
      <c r="X61" s="5">
        <f t="shared" si="14"/>
        <v>251.1501085</v>
      </c>
    </row>
    <row r="62" ht="15.75" customHeight="1">
      <c r="A62" s="5" t="s">
        <v>128</v>
      </c>
      <c r="B62" s="5" t="s">
        <v>129</v>
      </c>
      <c r="C62" s="5">
        <v>64.9</v>
      </c>
      <c r="D62" s="5" t="s">
        <v>130</v>
      </c>
      <c r="E62" s="5">
        <v>21.2291666666667</v>
      </c>
      <c r="F62" s="5">
        <v>76.0</v>
      </c>
      <c r="G62" s="5">
        <f t="shared" si="2"/>
        <v>16.13416667</v>
      </c>
      <c r="H62" s="5">
        <v>2971.73651849626</v>
      </c>
      <c r="I62" s="5">
        <v>224.242119281677</v>
      </c>
      <c r="J62" s="5">
        <v>981.358643822807</v>
      </c>
      <c r="K62" s="5">
        <v>4177.337281600744</v>
      </c>
      <c r="L62" s="5">
        <f t="shared" si="3"/>
        <v>0.005081985302</v>
      </c>
      <c r="M62" s="5">
        <f t="shared" si="4"/>
        <v>0.00386230883</v>
      </c>
      <c r="N62" s="5">
        <f t="shared" si="5"/>
        <v>0.007143690746</v>
      </c>
      <c r="O62" s="5">
        <f t="shared" si="6"/>
        <v>0.09467073686</v>
      </c>
      <c r="P62" s="5">
        <f t="shared" si="7"/>
        <v>0.02163242439</v>
      </c>
      <c r="Q62" s="5">
        <f t="shared" si="8"/>
        <v>0.005429204967</v>
      </c>
      <c r="R62" s="5">
        <f t="shared" si="9"/>
        <v>0.07194976001</v>
      </c>
      <c r="S62" s="5">
        <f t="shared" ref="S62:T62" si="73">G62/J62</f>
        <v>0.01644064254</v>
      </c>
      <c r="T62" s="5">
        <f t="shared" si="73"/>
        <v>0.7113949193</v>
      </c>
      <c r="U62" s="5">
        <f t="shared" si="11"/>
        <v>0.05368063533</v>
      </c>
      <c r="V62" s="5">
        <f t="shared" si="12"/>
        <v>0.2349244453</v>
      </c>
      <c r="W62" s="5">
        <f t="shared" si="13"/>
        <v>196.7734931</v>
      </c>
      <c r="X62" s="5">
        <f t="shared" si="14"/>
        <v>258.912491</v>
      </c>
    </row>
    <row r="63" ht="15.75" customHeight="1">
      <c r="A63" s="5" t="s">
        <v>131</v>
      </c>
      <c r="B63" s="5" t="s">
        <v>125</v>
      </c>
      <c r="C63" s="5">
        <v>61.99</v>
      </c>
      <c r="D63" s="5" t="s">
        <v>33</v>
      </c>
      <c r="E63" s="5">
        <v>7.22</v>
      </c>
      <c r="F63" s="5">
        <v>100.0</v>
      </c>
      <c r="G63" s="5">
        <f t="shared" si="2"/>
        <v>7.22</v>
      </c>
      <c r="H63" s="5">
        <v>1604.50728401433</v>
      </c>
      <c r="I63" s="5">
        <v>164.075871127232</v>
      </c>
      <c r="J63" s="5">
        <v>134.426741585052</v>
      </c>
      <c r="K63" s="5">
        <v>1903.009896726614</v>
      </c>
      <c r="L63" s="5">
        <f t="shared" si="3"/>
        <v>0.003793989728</v>
      </c>
      <c r="M63" s="5">
        <f t="shared" si="4"/>
        <v>0.003793989728</v>
      </c>
      <c r="N63" s="5">
        <f t="shared" si="5"/>
        <v>0.00449982376</v>
      </c>
      <c r="O63" s="5">
        <f t="shared" si="6"/>
        <v>0.04400403271</v>
      </c>
      <c r="P63" s="5">
        <f t="shared" si="7"/>
        <v>0.0537095515</v>
      </c>
      <c r="Q63" s="5">
        <f t="shared" si="8"/>
        <v>0.00449982376</v>
      </c>
      <c r="R63" s="5">
        <f t="shared" si="9"/>
        <v>0.04400403271</v>
      </c>
      <c r="S63" s="5">
        <f t="shared" ref="S63:T63" si="74">G63/J63</f>
        <v>0.0537095515</v>
      </c>
      <c r="T63" s="5">
        <f t="shared" si="74"/>
        <v>0.8431418495</v>
      </c>
      <c r="U63" s="5">
        <f t="shared" si="11"/>
        <v>0.08621913707</v>
      </c>
      <c r="V63" s="5">
        <f t="shared" si="12"/>
        <v>0.07063901339</v>
      </c>
      <c r="W63" s="5">
        <f t="shared" si="13"/>
        <v>263.5747779</v>
      </c>
      <c r="X63" s="5">
        <f t="shared" si="14"/>
        <v>263.5747779</v>
      </c>
    </row>
    <row r="64" ht="15.75" customHeight="1">
      <c r="A64" s="3" t="s">
        <v>132</v>
      </c>
      <c r="B64" s="3" t="s">
        <v>133</v>
      </c>
      <c r="C64" s="3">
        <v>50.8</v>
      </c>
      <c r="D64" s="3" t="s">
        <v>36</v>
      </c>
      <c r="E64" s="3">
        <v>18.3875</v>
      </c>
      <c r="F64" s="3">
        <v>100.0</v>
      </c>
      <c r="G64" s="3">
        <f t="shared" si="2"/>
        <v>18.3875</v>
      </c>
      <c r="H64" s="3">
        <v>3840.20629214671</v>
      </c>
      <c r="I64" s="3">
        <v>375.219563560918</v>
      </c>
      <c r="J64" s="3">
        <v>635.0323610308</v>
      </c>
      <c r="K64" s="3">
        <v>4850.458216738428</v>
      </c>
      <c r="L64" s="3">
        <f t="shared" si="3"/>
        <v>0.00379087896</v>
      </c>
      <c r="M64" s="3">
        <f t="shared" si="4"/>
        <v>0.00379087896</v>
      </c>
      <c r="N64" s="3">
        <f t="shared" si="5"/>
        <v>0.00478815423</v>
      </c>
      <c r="O64" s="3">
        <f t="shared" si="6"/>
        <v>0.04900464098</v>
      </c>
      <c r="P64" s="3">
        <f t="shared" si="7"/>
        <v>0.02895521729</v>
      </c>
      <c r="Q64" s="3">
        <f t="shared" si="8"/>
        <v>0.00478815423</v>
      </c>
      <c r="R64" s="3">
        <f t="shared" si="9"/>
        <v>0.04900464098</v>
      </c>
      <c r="S64" s="3">
        <f t="shared" ref="S64:T64" si="75">G64/J64</f>
        <v>0.02895521729</v>
      </c>
      <c r="T64" s="3">
        <f t="shared" si="75"/>
        <v>0.7917203119</v>
      </c>
      <c r="U64" s="3">
        <f t="shared" si="11"/>
        <v>0.0773575499</v>
      </c>
      <c r="V64" s="3">
        <f t="shared" si="12"/>
        <v>0.1309221382</v>
      </c>
      <c r="W64" s="3">
        <f t="shared" si="13"/>
        <v>263.7910655</v>
      </c>
      <c r="X64" s="3">
        <f t="shared" si="14"/>
        <v>263.7910655</v>
      </c>
      <c r="Y64" s="3"/>
      <c r="Z64" s="3"/>
    </row>
    <row r="65" ht="15.75" customHeight="1">
      <c r="A65" s="5" t="s">
        <v>134</v>
      </c>
      <c r="B65" s="5" t="s">
        <v>94</v>
      </c>
      <c r="C65" s="5">
        <v>100.0</v>
      </c>
      <c r="D65" s="5" t="s">
        <v>26</v>
      </c>
      <c r="E65" s="5">
        <v>21.5</v>
      </c>
      <c r="F65" s="5">
        <v>100.0</v>
      </c>
      <c r="G65" s="5">
        <f t="shared" si="2"/>
        <v>21.5</v>
      </c>
      <c r="H65" s="5">
        <v>4652.2565387724</v>
      </c>
      <c r="I65" s="5">
        <v>435.195972250219</v>
      </c>
      <c r="J65" s="5">
        <v>589.586400273516</v>
      </c>
      <c r="K65" s="5">
        <v>5677.038911296135</v>
      </c>
      <c r="L65" s="5">
        <f t="shared" si="3"/>
        <v>0.003787185597</v>
      </c>
      <c r="M65" s="5">
        <f t="shared" si="4"/>
        <v>0.003787185597</v>
      </c>
      <c r="N65" s="5">
        <f t="shared" si="5"/>
        <v>0.004621413248</v>
      </c>
      <c r="O65" s="5">
        <f t="shared" si="6"/>
        <v>0.04940303075</v>
      </c>
      <c r="P65" s="5">
        <f t="shared" si="7"/>
        <v>0.0364662414</v>
      </c>
      <c r="Q65" s="5">
        <f t="shared" si="8"/>
        <v>0.004621413248</v>
      </c>
      <c r="R65" s="5">
        <f t="shared" si="9"/>
        <v>0.04940303075</v>
      </c>
      <c r="S65" s="5">
        <f t="shared" ref="S65:T65" si="76">G65/J65</f>
        <v>0.0364662414</v>
      </c>
      <c r="T65" s="5">
        <f t="shared" si="76"/>
        <v>0.8194864632</v>
      </c>
      <c r="U65" s="5">
        <f t="shared" si="11"/>
        <v>0.07665897293</v>
      </c>
      <c r="V65" s="5">
        <f t="shared" si="12"/>
        <v>0.1038545639</v>
      </c>
      <c r="W65" s="5">
        <f t="shared" si="13"/>
        <v>264.0483215</v>
      </c>
      <c r="X65" s="5">
        <f t="shared" si="14"/>
        <v>264.0483215</v>
      </c>
    </row>
    <row r="66" ht="15.75" customHeight="1">
      <c r="A66" s="3" t="s">
        <v>135</v>
      </c>
      <c r="B66" s="3" t="s">
        <v>136</v>
      </c>
      <c r="C66" s="3">
        <v>29.16</v>
      </c>
      <c r="D66" s="3" t="s">
        <v>26</v>
      </c>
      <c r="E66" s="3">
        <v>13.45</v>
      </c>
      <c r="F66" s="3">
        <v>100.0</v>
      </c>
      <c r="G66" s="3">
        <f t="shared" si="2"/>
        <v>13.45</v>
      </c>
      <c r="H66" s="3">
        <v>3256.86481415322</v>
      </c>
      <c r="I66" s="3">
        <v>11.5818846002776</v>
      </c>
      <c r="J66" s="3">
        <v>416.776979787634</v>
      </c>
      <c r="K66" s="3">
        <v>3685.223678541131</v>
      </c>
      <c r="L66" s="3">
        <f t="shared" si="3"/>
        <v>0.003649710621</v>
      </c>
      <c r="M66" s="3">
        <f t="shared" si="4"/>
        <v>0.003649710621</v>
      </c>
      <c r="N66" s="3">
        <f t="shared" si="5"/>
        <v>0.004129738496</v>
      </c>
      <c r="O66" s="3">
        <f t="shared" si="6"/>
        <v>1.161296323</v>
      </c>
      <c r="P66" s="3">
        <f t="shared" si="7"/>
        <v>0.03227145608</v>
      </c>
      <c r="Q66" s="3">
        <f t="shared" si="8"/>
        <v>0.004129738496</v>
      </c>
      <c r="R66" s="3">
        <f t="shared" si="9"/>
        <v>1.161296323</v>
      </c>
      <c r="S66" s="3">
        <f t="shared" ref="S66:T66" si="77">G66/J66</f>
        <v>0.03227145608</v>
      </c>
      <c r="T66" s="3">
        <f t="shared" si="77"/>
        <v>0.8837631303</v>
      </c>
      <c r="U66" s="3">
        <f t="shared" si="11"/>
        <v>0.003142790129</v>
      </c>
      <c r="V66" s="3">
        <f t="shared" si="12"/>
        <v>0.1130940795</v>
      </c>
      <c r="W66" s="3">
        <f t="shared" si="13"/>
        <v>273.9943255</v>
      </c>
      <c r="X66" s="3">
        <f t="shared" si="14"/>
        <v>273.9943255</v>
      </c>
      <c r="Y66" s="3"/>
      <c r="Z66" s="3"/>
    </row>
    <row r="67" ht="15.75" customHeight="1">
      <c r="A67" s="5" t="s">
        <v>137</v>
      </c>
      <c r="B67" s="5" t="s">
        <v>138</v>
      </c>
      <c r="C67" s="5">
        <v>71.2</v>
      </c>
      <c r="D67" s="5" t="s">
        <v>71</v>
      </c>
      <c r="E67" s="5">
        <v>12.515066502889</v>
      </c>
      <c r="F67" s="5">
        <v>45.0</v>
      </c>
      <c r="G67" s="5">
        <f t="shared" si="2"/>
        <v>5.631779926</v>
      </c>
      <c r="H67" s="5">
        <v>1419.42732948651</v>
      </c>
      <c r="I67" s="5">
        <v>25.2721462949295</v>
      </c>
      <c r="J67" s="5">
        <v>99.2107858974901</v>
      </c>
      <c r="K67" s="5">
        <v>1543.91026167893</v>
      </c>
      <c r="L67" s="5">
        <f t="shared" si="3"/>
        <v>0.008106084151</v>
      </c>
      <c r="M67" s="5">
        <f t="shared" si="4"/>
        <v>0.003647737868</v>
      </c>
      <c r="N67" s="5">
        <f t="shared" si="5"/>
        <v>0.008816982908</v>
      </c>
      <c r="O67" s="5">
        <f t="shared" si="6"/>
        <v>0.4952118572</v>
      </c>
      <c r="P67" s="5">
        <f t="shared" si="7"/>
        <v>0.1261462289</v>
      </c>
      <c r="Q67" s="5">
        <f t="shared" si="8"/>
        <v>0.003967642308</v>
      </c>
      <c r="R67" s="5">
        <f t="shared" si="9"/>
        <v>0.2228453358</v>
      </c>
      <c r="S67" s="5">
        <f t="shared" ref="S67:T67" si="78">G67/J67</f>
        <v>0.05676580299</v>
      </c>
      <c r="T67" s="5">
        <f t="shared" si="78"/>
        <v>0.9193716531</v>
      </c>
      <c r="U67" s="5">
        <f t="shared" si="11"/>
        <v>0.01636892177</v>
      </c>
      <c r="V67" s="5">
        <f t="shared" si="12"/>
        <v>0.06425942515</v>
      </c>
      <c r="W67" s="5">
        <f t="shared" si="13"/>
        <v>123.3641277</v>
      </c>
      <c r="X67" s="5">
        <f t="shared" si="14"/>
        <v>274.1425059</v>
      </c>
    </row>
    <row r="68" ht="15.75" customHeight="1">
      <c r="A68" s="5" t="s">
        <v>139</v>
      </c>
      <c r="B68" s="5" t="s">
        <v>125</v>
      </c>
      <c r="C68" s="5">
        <v>60.06</v>
      </c>
      <c r="D68" s="5" t="s">
        <v>33</v>
      </c>
      <c r="E68" s="5">
        <v>6.89791666666667</v>
      </c>
      <c r="F68" s="5">
        <v>100.0</v>
      </c>
      <c r="G68" s="5">
        <f t="shared" si="2"/>
        <v>6.897916667</v>
      </c>
      <c r="H68" s="5">
        <v>1604.50728401433</v>
      </c>
      <c r="I68" s="5">
        <v>164.075871127232</v>
      </c>
      <c r="J68" s="5">
        <v>134.426741585052</v>
      </c>
      <c r="K68" s="5">
        <v>1903.009896726614</v>
      </c>
      <c r="L68" s="5">
        <f t="shared" si="3"/>
        <v>0.003624740301</v>
      </c>
      <c r="M68" s="5">
        <f t="shared" si="4"/>
        <v>0.003624740301</v>
      </c>
      <c r="N68" s="5">
        <f t="shared" si="5"/>
        <v>0.004299087162</v>
      </c>
      <c r="O68" s="5">
        <f t="shared" si="6"/>
        <v>0.04204101809</v>
      </c>
      <c r="P68" s="5">
        <f t="shared" si="7"/>
        <v>0.05131357485</v>
      </c>
      <c r="Q68" s="5">
        <f t="shared" si="8"/>
        <v>0.004299087162</v>
      </c>
      <c r="R68" s="5">
        <f t="shared" si="9"/>
        <v>0.04204101809</v>
      </c>
      <c r="S68" s="5">
        <f t="shared" ref="S68:T68" si="79">G68/J68</f>
        <v>0.05131357485</v>
      </c>
      <c r="T68" s="5">
        <f t="shared" si="79"/>
        <v>0.8431418495</v>
      </c>
      <c r="U68" s="5">
        <f t="shared" si="11"/>
        <v>0.08621913707</v>
      </c>
      <c r="V68" s="5">
        <f t="shared" si="12"/>
        <v>0.07063901339</v>
      </c>
      <c r="W68" s="5">
        <f t="shared" si="13"/>
        <v>275.8818334</v>
      </c>
      <c r="X68" s="5">
        <f t="shared" si="14"/>
        <v>275.8818334</v>
      </c>
    </row>
    <row r="69" ht="15.75" customHeight="1">
      <c r="A69" s="5" t="s">
        <v>140</v>
      </c>
      <c r="B69" s="5" t="s">
        <v>94</v>
      </c>
      <c r="C69" s="5">
        <v>100.0</v>
      </c>
      <c r="D69" s="5" t="s">
        <v>26</v>
      </c>
      <c r="E69" s="5">
        <v>20.4520833333333</v>
      </c>
      <c r="F69" s="5">
        <v>100.0</v>
      </c>
      <c r="G69" s="5">
        <f t="shared" si="2"/>
        <v>20.45208333</v>
      </c>
      <c r="H69" s="5">
        <v>4652.2565387724</v>
      </c>
      <c r="I69" s="5">
        <v>435.195972250219</v>
      </c>
      <c r="J69" s="5">
        <v>589.586400273516</v>
      </c>
      <c r="K69" s="5">
        <v>5677.038911296135</v>
      </c>
      <c r="L69" s="5">
        <f t="shared" si="3"/>
        <v>0.003602596997</v>
      </c>
      <c r="M69" s="5">
        <f t="shared" si="4"/>
        <v>0.003602596997</v>
      </c>
      <c r="N69" s="5">
        <f t="shared" si="5"/>
        <v>0.004396164133</v>
      </c>
      <c r="O69" s="5">
        <f t="shared" si="6"/>
        <v>0.04699511171</v>
      </c>
      <c r="P69" s="5">
        <f t="shared" si="7"/>
        <v>0.03468886549</v>
      </c>
      <c r="Q69" s="5">
        <f t="shared" si="8"/>
        <v>0.004396164133</v>
      </c>
      <c r="R69" s="5">
        <f t="shared" si="9"/>
        <v>0.04699511171</v>
      </c>
      <c r="S69" s="5">
        <f t="shared" ref="S69:T69" si="80">G69/J69</f>
        <v>0.03468886549</v>
      </c>
      <c r="T69" s="5">
        <f t="shared" si="80"/>
        <v>0.8194864632</v>
      </c>
      <c r="U69" s="5">
        <f t="shared" si="11"/>
        <v>0.07665897293</v>
      </c>
      <c r="V69" s="5">
        <f t="shared" si="12"/>
        <v>0.1038545639</v>
      </c>
      <c r="W69" s="5">
        <f t="shared" si="13"/>
        <v>277.5775367</v>
      </c>
      <c r="X69" s="5">
        <f t="shared" si="14"/>
        <v>277.5775367</v>
      </c>
    </row>
    <row r="70" ht="15.75" customHeight="1">
      <c r="A70" s="5" t="s">
        <v>141</v>
      </c>
      <c r="B70" s="5" t="s">
        <v>73</v>
      </c>
      <c r="C70" s="5">
        <v>75.44</v>
      </c>
      <c r="D70" s="5" t="s">
        <v>50</v>
      </c>
      <c r="E70" s="5">
        <v>11.1083333333333</v>
      </c>
      <c r="F70" s="5">
        <v>60.0</v>
      </c>
      <c r="G70" s="5">
        <f t="shared" si="2"/>
        <v>6.665</v>
      </c>
      <c r="H70" s="5">
        <v>1350.34042275153</v>
      </c>
      <c r="I70" s="5">
        <v>20.6512530524221</v>
      </c>
      <c r="J70" s="5">
        <v>506.170779011703</v>
      </c>
      <c r="K70" s="5">
        <v>1877.162454815655</v>
      </c>
      <c r="L70" s="5">
        <f t="shared" si="3"/>
        <v>0.005917619599</v>
      </c>
      <c r="M70" s="5">
        <f t="shared" si="4"/>
        <v>0.003550571759</v>
      </c>
      <c r="N70" s="5">
        <f t="shared" si="5"/>
        <v>0.008226320672</v>
      </c>
      <c r="O70" s="5">
        <f t="shared" si="6"/>
        <v>0.5379011775</v>
      </c>
      <c r="P70" s="5">
        <f t="shared" si="7"/>
        <v>0.02194582104</v>
      </c>
      <c r="Q70" s="5">
        <f t="shared" si="8"/>
        <v>0.004935792403</v>
      </c>
      <c r="R70" s="5">
        <f t="shared" si="9"/>
        <v>0.3227407065</v>
      </c>
      <c r="S70" s="5">
        <f t="shared" ref="S70:T70" si="81">G70/J70</f>
        <v>0.01316749263</v>
      </c>
      <c r="T70" s="5">
        <f t="shared" si="81"/>
        <v>0.7193519236</v>
      </c>
      <c r="U70" s="5">
        <f t="shared" si="11"/>
        <v>0.01100131371</v>
      </c>
      <c r="V70" s="5">
        <f t="shared" si="12"/>
        <v>0.2696467627</v>
      </c>
      <c r="W70" s="5">
        <f t="shared" si="13"/>
        <v>168.9868677</v>
      </c>
      <c r="X70" s="5">
        <f t="shared" si="14"/>
        <v>281.6447794</v>
      </c>
    </row>
    <row r="71" ht="15.75" customHeight="1">
      <c r="A71" s="5" t="s">
        <v>142</v>
      </c>
      <c r="B71" s="5" t="s">
        <v>94</v>
      </c>
      <c r="C71" s="5">
        <v>100.0</v>
      </c>
      <c r="D71" s="5" t="s">
        <v>26</v>
      </c>
      <c r="E71" s="5">
        <v>20.125</v>
      </c>
      <c r="F71" s="5">
        <v>100.0</v>
      </c>
      <c r="G71" s="5">
        <f t="shared" si="2"/>
        <v>20.125</v>
      </c>
      <c r="H71" s="5">
        <v>4652.2565387724</v>
      </c>
      <c r="I71" s="5">
        <v>435.195972250219</v>
      </c>
      <c r="J71" s="5">
        <v>589.586400273516</v>
      </c>
      <c r="K71" s="5">
        <v>5677.038911296135</v>
      </c>
      <c r="L71" s="5">
        <f t="shared" si="3"/>
        <v>0.003544981867</v>
      </c>
      <c r="M71" s="5">
        <f t="shared" si="4"/>
        <v>0.003544981867</v>
      </c>
      <c r="N71" s="5">
        <f t="shared" si="5"/>
        <v>0.004325857749</v>
      </c>
      <c r="O71" s="5">
        <f t="shared" si="6"/>
        <v>0.0462435346</v>
      </c>
      <c r="P71" s="5">
        <f t="shared" si="7"/>
        <v>0.03413409806</v>
      </c>
      <c r="Q71" s="5">
        <f t="shared" si="8"/>
        <v>0.004325857749</v>
      </c>
      <c r="R71" s="5">
        <f t="shared" si="9"/>
        <v>0.0462435346</v>
      </c>
      <c r="S71" s="5">
        <f t="shared" ref="S71:T71" si="82">G71/J71</f>
        <v>0.03413409806</v>
      </c>
      <c r="T71" s="5">
        <f t="shared" si="82"/>
        <v>0.8194864632</v>
      </c>
      <c r="U71" s="5">
        <f t="shared" si="11"/>
        <v>0.07665897293</v>
      </c>
      <c r="V71" s="5">
        <f t="shared" si="12"/>
        <v>0.1038545639</v>
      </c>
      <c r="W71" s="5">
        <f t="shared" si="13"/>
        <v>282.08889</v>
      </c>
      <c r="X71" s="5">
        <f t="shared" si="14"/>
        <v>282.08889</v>
      </c>
    </row>
    <row r="72" ht="15.75" customHeight="1">
      <c r="A72" s="5" t="s">
        <v>143</v>
      </c>
      <c r="B72" s="5" t="s">
        <v>144</v>
      </c>
      <c r="C72" s="5">
        <v>100.0</v>
      </c>
      <c r="D72" s="5" t="s">
        <v>88</v>
      </c>
      <c r="E72" s="5">
        <v>13.9210260869565</v>
      </c>
      <c r="F72" s="5">
        <v>45.0</v>
      </c>
      <c r="G72" s="5">
        <f t="shared" si="2"/>
        <v>6.264461739</v>
      </c>
      <c r="H72" s="5">
        <v>1478.70509929356</v>
      </c>
      <c r="I72" s="5">
        <v>181.040179720865</v>
      </c>
      <c r="J72" s="5">
        <v>128.103076942111</v>
      </c>
      <c r="K72" s="5">
        <v>1787.848355956536</v>
      </c>
      <c r="L72" s="5">
        <f t="shared" si="3"/>
        <v>0.00778646916</v>
      </c>
      <c r="M72" s="5">
        <f t="shared" si="4"/>
        <v>0.003503911122</v>
      </c>
      <c r="N72" s="5">
        <f t="shared" si="5"/>
        <v>0.009414335619</v>
      </c>
      <c r="O72" s="5">
        <f t="shared" si="6"/>
        <v>0.07689467669</v>
      </c>
      <c r="P72" s="5">
        <f t="shared" si="7"/>
        <v>0.1086705052</v>
      </c>
      <c r="Q72" s="5">
        <f t="shared" si="8"/>
        <v>0.004236451029</v>
      </c>
      <c r="R72" s="5">
        <f t="shared" si="9"/>
        <v>0.03460260451</v>
      </c>
      <c r="S72" s="5">
        <f t="shared" ref="S72:T72" si="83">G72/J72</f>
        <v>0.04890172733</v>
      </c>
      <c r="T72" s="5">
        <f t="shared" si="83"/>
        <v>0.8270864217</v>
      </c>
      <c r="U72" s="5">
        <f t="shared" si="11"/>
        <v>0.1012614851</v>
      </c>
      <c r="V72" s="5">
        <f t="shared" si="12"/>
        <v>0.07165209315</v>
      </c>
      <c r="W72" s="5">
        <f t="shared" si="13"/>
        <v>128.4279151</v>
      </c>
      <c r="X72" s="5">
        <f t="shared" si="14"/>
        <v>285.3953668</v>
      </c>
    </row>
    <row r="73" ht="15.75" customHeight="1">
      <c r="A73" s="5" t="s">
        <v>145</v>
      </c>
      <c r="B73" s="5" t="s">
        <v>90</v>
      </c>
      <c r="C73" s="5">
        <v>100.0</v>
      </c>
      <c r="D73" s="5" t="s">
        <v>33</v>
      </c>
      <c r="E73" s="5">
        <v>17.41102</v>
      </c>
      <c r="F73" s="5">
        <v>100.0</v>
      </c>
      <c r="G73" s="5">
        <f t="shared" si="2"/>
        <v>17.41102</v>
      </c>
      <c r="H73" s="5">
        <v>4264.41046200854</v>
      </c>
      <c r="I73" s="5">
        <v>438.660008395035</v>
      </c>
      <c r="J73" s="5">
        <v>357.275288744589</v>
      </c>
      <c r="K73" s="5">
        <v>5060.345759148164</v>
      </c>
      <c r="L73" s="5">
        <f t="shared" si="3"/>
        <v>0.003440677936</v>
      </c>
      <c r="M73" s="5">
        <f t="shared" si="4"/>
        <v>0.003440677936</v>
      </c>
      <c r="N73" s="5">
        <f t="shared" si="5"/>
        <v>0.004082866824</v>
      </c>
      <c r="O73" s="5">
        <f t="shared" si="6"/>
        <v>0.03969137753</v>
      </c>
      <c r="P73" s="5">
        <f t="shared" si="7"/>
        <v>0.04873278547</v>
      </c>
      <c r="Q73" s="5">
        <f t="shared" si="8"/>
        <v>0.004082866824</v>
      </c>
      <c r="R73" s="5">
        <f t="shared" si="9"/>
        <v>0.03969137753</v>
      </c>
      <c r="S73" s="5">
        <f t="shared" ref="S73:T73" si="84">G73/J73</f>
        <v>0.04873278547</v>
      </c>
      <c r="T73" s="5">
        <f t="shared" si="84"/>
        <v>0.842711282</v>
      </c>
      <c r="U73" s="5">
        <f t="shared" si="11"/>
        <v>0.08668577786</v>
      </c>
      <c r="V73" s="5">
        <f t="shared" si="12"/>
        <v>0.07060294014</v>
      </c>
      <c r="W73" s="5">
        <f t="shared" si="13"/>
        <v>290.6403967</v>
      </c>
      <c r="X73" s="5">
        <f t="shared" si="14"/>
        <v>290.6403967</v>
      </c>
    </row>
    <row r="74" ht="15.75" customHeight="1">
      <c r="A74" s="5" t="s">
        <v>146</v>
      </c>
      <c r="B74" s="5" t="s">
        <v>94</v>
      </c>
      <c r="C74" s="5">
        <v>100.0</v>
      </c>
      <c r="D74" s="5" t="s">
        <v>26</v>
      </c>
      <c r="E74" s="5">
        <v>18.5208333333333</v>
      </c>
      <c r="F74" s="5">
        <v>100.0</v>
      </c>
      <c r="G74" s="5">
        <f t="shared" si="2"/>
        <v>18.52083333</v>
      </c>
      <c r="H74" s="5">
        <v>4652.2565387724</v>
      </c>
      <c r="I74" s="5">
        <v>435.195972250219</v>
      </c>
      <c r="J74" s="5">
        <v>589.586400273516</v>
      </c>
      <c r="K74" s="5">
        <v>5677.038911296135</v>
      </c>
      <c r="L74" s="5">
        <f t="shared" si="3"/>
        <v>0.003262410849</v>
      </c>
      <c r="M74" s="5">
        <f t="shared" si="4"/>
        <v>0.003262410849</v>
      </c>
      <c r="N74" s="5">
        <f t="shared" si="5"/>
        <v>0.003981043001</v>
      </c>
      <c r="O74" s="5">
        <f t="shared" si="6"/>
        <v>0.04255745575</v>
      </c>
      <c r="P74" s="5">
        <f t="shared" si="7"/>
        <v>0.03141326415</v>
      </c>
      <c r="Q74" s="5">
        <f t="shared" si="8"/>
        <v>0.003981043001</v>
      </c>
      <c r="R74" s="5">
        <f t="shared" si="9"/>
        <v>0.04255745575</v>
      </c>
      <c r="S74" s="5">
        <f t="shared" ref="S74:T74" si="85">G74/J74</f>
        <v>0.03141326415</v>
      </c>
      <c r="T74" s="5">
        <f t="shared" si="85"/>
        <v>0.8194864632</v>
      </c>
      <c r="U74" s="5">
        <f t="shared" si="11"/>
        <v>0.07665897293</v>
      </c>
      <c r="V74" s="5">
        <f t="shared" si="12"/>
        <v>0.1038545639</v>
      </c>
      <c r="W74" s="5">
        <f t="shared" si="13"/>
        <v>306.521786</v>
      </c>
      <c r="X74" s="5">
        <f t="shared" si="14"/>
        <v>306.521786</v>
      </c>
    </row>
    <row r="75" ht="15.75" customHeight="1">
      <c r="A75" s="5" t="s">
        <v>147</v>
      </c>
      <c r="B75" s="5" t="s">
        <v>94</v>
      </c>
      <c r="C75" s="5">
        <v>100.0</v>
      </c>
      <c r="D75" s="5" t="s">
        <v>26</v>
      </c>
      <c r="E75" s="5">
        <v>18.0</v>
      </c>
      <c r="F75" s="5">
        <v>100.0</v>
      </c>
      <c r="G75" s="5">
        <f t="shared" si="2"/>
        <v>18</v>
      </c>
      <c r="H75" s="5">
        <v>4652.2565387724</v>
      </c>
      <c r="I75" s="5">
        <v>435.195972250219</v>
      </c>
      <c r="J75" s="5">
        <v>589.586400273516</v>
      </c>
      <c r="K75" s="5">
        <v>5677.038911296135</v>
      </c>
      <c r="L75" s="5">
        <f t="shared" si="3"/>
        <v>0.003170667012</v>
      </c>
      <c r="M75" s="5">
        <f t="shared" si="4"/>
        <v>0.003170667012</v>
      </c>
      <c r="N75" s="5">
        <f t="shared" si="5"/>
        <v>0.003869090161</v>
      </c>
      <c r="O75" s="5">
        <f t="shared" si="6"/>
        <v>0.04136067691</v>
      </c>
      <c r="P75" s="5">
        <f t="shared" si="7"/>
        <v>0.03052987652</v>
      </c>
      <c r="Q75" s="5">
        <f t="shared" si="8"/>
        <v>0.003869090161</v>
      </c>
      <c r="R75" s="5">
        <f t="shared" si="9"/>
        <v>0.04136067691</v>
      </c>
      <c r="S75" s="5">
        <f t="shared" ref="S75:T75" si="86">G75/J75</f>
        <v>0.03052987652</v>
      </c>
      <c r="T75" s="5">
        <f t="shared" si="86"/>
        <v>0.8194864632</v>
      </c>
      <c r="U75" s="5">
        <f t="shared" si="11"/>
        <v>0.07665897293</v>
      </c>
      <c r="V75" s="5">
        <f t="shared" si="12"/>
        <v>0.1038545639</v>
      </c>
      <c r="W75" s="5">
        <f t="shared" si="13"/>
        <v>315.3910506</v>
      </c>
      <c r="X75" s="5">
        <f t="shared" si="14"/>
        <v>315.3910506</v>
      </c>
    </row>
    <row r="76" ht="15.75" customHeight="1">
      <c r="A76" s="5" t="s">
        <v>148</v>
      </c>
      <c r="B76" s="5" t="s">
        <v>144</v>
      </c>
      <c r="C76" s="5">
        <v>100.0</v>
      </c>
      <c r="D76" s="5" t="s">
        <v>88</v>
      </c>
      <c r="E76" s="5">
        <v>12.35</v>
      </c>
      <c r="F76" s="5">
        <v>45.0</v>
      </c>
      <c r="G76" s="5">
        <f t="shared" si="2"/>
        <v>5.5575</v>
      </c>
      <c r="H76" s="5">
        <v>1478.70509929356</v>
      </c>
      <c r="I76" s="5">
        <v>181.040179720865</v>
      </c>
      <c r="J76" s="5">
        <v>128.103076942111</v>
      </c>
      <c r="K76" s="5">
        <v>1787.848355956536</v>
      </c>
      <c r="L76" s="5">
        <f t="shared" si="3"/>
        <v>0.006907744697</v>
      </c>
      <c r="M76" s="5">
        <f t="shared" si="4"/>
        <v>0.003108485114</v>
      </c>
      <c r="N76" s="5">
        <f t="shared" si="5"/>
        <v>0.008351901948</v>
      </c>
      <c r="O76" s="5">
        <f t="shared" si="6"/>
        <v>0.06821690091</v>
      </c>
      <c r="P76" s="5">
        <f t="shared" si="7"/>
        <v>0.09640673975</v>
      </c>
      <c r="Q76" s="5">
        <f t="shared" si="8"/>
        <v>0.003758355877</v>
      </c>
      <c r="R76" s="5">
        <f t="shared" si="9"/>
        <v>0.03069760541</v>
      </c>
      <c r="S76" s="5">
        <f t="shared" ref="S76:T76" si="87">G76/J76</f>
        <v>0.04338303289</v>
      </c>
      <c r="T76" s="5">
        <f t="shared" si="87"/>
        <v>0.8270864217</v>
      </c>
      <c r="U76" s="5">
        <f t="shared" si="11"/>
        <v>0.1012614851</v>
      </c>
      <c r="V76" s="5">
        <f t="shared" si="12"/>
        <v>0.07165209315</v>
      </c>
      <c r="W76" s="5">
        <f t="shared" si="13"/>
        <v>144.7650491</v>
      </c>
      <c r="X76" s="5">
        <f t="shared" si="14"/>
        <v>321.700109</v>
      </c>
    </row>
    <row r="77" ht="15.75" customHeight="1">
      <c r="A77" s="5" t="s">
        <v>149</v>
      </c>
      <c r="B77" s="5" t="s">
        <v>90</v>
      </c>
      <c r="C77" s="5">
        <v>100.0</v>
      </c>
      <c r="D77" s="5" t="s">
        <v>33</v>
      </c>
      <c r="E77" s="5">
        <v>15.5708333333333</v>
      </c>
      <c r="F77" s="5">
        <v>100.0</v>
      </c>
      <c r="G77" s="5">
        <f t="shared" si="2"/>
        <v>15.57083333</v>
      </c>
      <c r="H77" s="5">
        <v>4264.41046200854</v>
      </c>
      <c r="I77" s="5">
        <v>438.660008395035</v>
      </c>
      <c r="J77" s="5">
        <v>357.275288744589</v>
      </c>
      <c r="K77" s="5">
        <v>5060.345759148164</v>
      </c>
      <c r="L77" s="5">
        <f t="shared" si="3"/>
        <v>0.00307702953</v>
      </c>
      <c r="M77" s="5">
        <f t="shared" si="4"/>
        <v>0.00307702953</v>
      </c>
      <c r="N77" s="5">
        <f t="shared" si="5"/>
        <v>0.003651344886</v>
      </c>
      <c r="O77" s="5">
        <f t="shared" si="6"/>
        <v>0.03549635945</v>
      </c>
      <c r="P77" s="5">
        <f t="shared" si="7"/>
        <v>0.04358217269</v>
      </c>
      <c r="Q77" s="5">
        <f t="shared" si="8"/>
        <v>0.003651344886</v>
      </c>
      <c r="R77" s="5">
        <f t="shared" si="9"/>
        <v>0.03549635945</v>
      </c>
      <c r="S77" s="5">
        <f t="shared" ref="S77:T77" si="88">G77/J77</f>
        <v>0.04358217269</v>
      </c>
      <c r="T77" s="5">
        <f t="shared" si="88"/>
        <v>0.842711282</v>
      </c>
      <c r="U77" s="5">
        <f t="shared" si="11"/>
        <v>0.08668577786</v>
      </c>
      <c r="V77" s="5">
        <f t="shared" si="12"/>
        <v>0.07060294014</v>
      </c>
      <c r="W77" s="5">
        <f t="shared" si="13"/>
        <v>324.9887563</v>
      </c>
      <c r="X77" s="5">
        <f t="shared" si="14"/>
        <v>324.9887563</v>
      </c>
    </row>
    <row r="78" ht="15.75" customHeight="1">
      <c r="A78" s="5" t="s">
        <v>150</v>
      </c>
      <c r="B78" s="5" t="s">
        <v>138</v>
      </c>
      <c r="C78" s="5">
        <v>47.89</v>
      </c>
      <c r="D78" s="5" t="s">
        <v>71</v>
      </c>
      <c r="E78" s="5">
        <v>10.5241</v>
      </c>
      <c r="F78" s="5">
        <v>45.0</v>
      </c>
      <c r="G78" s="5">
        <f t="shared" si="2"/>
        <v>4.735845</v>
      </c>
      <c r="H78" s="5">
        <v>1419.42732948651</v>
      </c>
      <c r="I78" s="5">
        <v>25.2721462949295</v>
      </c>
      <c r="J78" s="5">
        <v>99.2107858974901</v>
      </c>
      <c r="K78" s="5">
        <v>1543.91026167893</v>
      </c>
      <c r="L78" s="5">
        <f t="shared" si="3"/>
        <v>0.006816523124</v>
      </c>
      <c r="M78" s="5">
        <f t="shared" si="4"/>
        <v>0.003067435406</v>
      </c>
      <c r="N78" s="5">
        <f t="shared" si="5"/>
        <v>0.007414328146</v>
      </c>
      <c r="O78" s="5">
        <f t="shared" si="6"/>
        <v>0.4164307961</v>
      </c>
      <c r="P78" s="5">
        <f t="shared" si="7"/>
        <v>0.106078184</v>
      </c>
      <c r="Q78" s="5">
        <f t="shared" si="8"/>
        <v>0.003336447666</v>
      </c>
      <c r="R78" s="5">
        <f t="shared" si="9"/>
        <v>0.1873938582</v>
      </c>
      <c r="S78" s="5">
        <f t="shared" ref="S78:T78" si="89">G78/J78</f>
        <v>0.04773518279</v>
      </c>
      <c r="T78" s="5">
        <f t="shared" si="89"/>
        <v>0.9193716531</v>
      </c>
      <c r="U78" s="5">
        <f t="shared" si="11"/>
        <v>0.01636892177</v>
      </c>
      <c r="V78" s="5">
        <f t="shared" si="12"/>
        <v>0.06425942515</v>
      </c>
      <c r="W78" s="5">
        <f t="shared" si="13"/>
        <v>146.7023557</v>
      </c>
      <c r="X78" s="5">
        <f t="shared" si="14"/>
        <v>326.0052349</v>
      </c>
    </row>
    <row r="79" ht="15.75" customHeight="1">
      <c r="A79" s="5" t="s">
        <v>151</v>
      </c>
      <c r="B79" s="5" t="s">
        <v>64</v>
      </c>
      <c r="C79" s="5">
        <v>52.1</v>
      </c>
      <c r="D79" s="5" t="s">
        <v>71</v>
      </c>
      <c r="E79" s="5">
        <v>11.9509996000926</v>
      </c>
      <c r="F79" s="5">
        <v>45.0</v>
      </c>
      <c r="G79" s="5">
        <f t="shared" si="2"/>
        <v>5.37794982</v>
      </c>
      <c r="H79" s="5">
        <v>1277.21127399482</v>
      </c>
      <c r="I79" s="5">
        <v>342.455126869744</v>
      </c>
      <c r="J79" s="5">
        <v>207.421846646418</v>
      </c>
      <c r="K79" s="5">
        <v>1827.088247510982</v>
      </c>
      <c r="L79" s="5">
        <f t="shared" si="3"/>
        <v>0.006541008414</v>
      </c>
      <c r="M79" s="5">
        <f t="shared" si="4"/>
        <v>0.002943453786</v>
      </c>
      <c r="N79" s="5">
        <f t="shared" si="5"/>
        <v>0.009357104688</v>
      </c>
      <c r="O79" s="5">
        <f t="shared" si="6"/>
        <v>0.0348980017</v>
      </c>
      <c r="P79" s="5">
        <f t="shared" si="7"/>
        <v>0.05761687977</v>
      </c>
      <c r="Q79" s="5">
        <f t="shared" si="8"/>
        <v>0.00421069711</v>
      </c>
      <c r="R79" s="5">
        <f t="shared" si="9"/>
        <v>0.01570410077</v>
      </c>
      <c r="S79" s="5">
        <f t="shared" ref="S79:T79" si="90">G79/J79</f>
        <v>0.0259275959</v>
      </c>
      <c r="T79" s="5">
        <f t="shared" si="90"/>
        <v>0.6990419186</v>
      </c>
      <c r="U79" s="5">
        <f t="shared" si="11"/>
        <v>0.1874321765</v>
      </c>
      <c r="V79" s="5">
        <f t="shared" si="12"/>
        <v>0.1135259049</v>
      </c>
      <c r="W79" s="5">
        <f t="shared" si="13"/>
        <v>152.8816257</v>
      </c>
      <c r="X79" s="5">
        <f t="shared" si="14"/>
        <v>339.736946</v>
      </c>
    </row>
    <row r="80" ht="15.75" customHeight="1">
      <c r="A80" s="5" t="s">
        <v>152</v>
      </c>
      <c r="B80" s="5" t="s">
        <v>64</v>
      </c>
      <c r="C80" s="5">
        <v>69.37</v>
      </c>
      <c r="D80" s="5" t="s">
        <v>88</v>
      </c>
      <c r="E80" s="5">
        <v>11.8791304347826</v>
      </c>
      <c r="F80" s="5">
        <v>45.0</v>
      </c>
      <c r="G80" s="5">
        <f t="shared" si="2"/>
        <v>5.345608696</v>
      </c>
      <c r="H80" s="5">
        <v>1277.21127399482</v>
      </c>
      <c r="I80" s="5">
        <v>342.455126869744</v>
      </c>
      <c r="J80" s="5">
        <v>207.421846646418</v>
      </c>
      <c r="K80" s="5">
        <v>1827.088247510982</v>
      </c>
      <c r="L80" s="5">
        <f t="shared" si="3"/>
        <v>0.006501673059</v>
      </c>
      <c r="M80" s="5">
        <f t="shared" si="4"/>
        <v>0.002925752876</v>
      </c>
      <c r="N80" s="5">
        <f t="shared" si="5"/>
        <v>0.009300834307</v>
      </c>
      <c r="O80" s="5">
        <f t="shared" si="6"/>
        <v>0.03468813723</v>
      </c>
      <c r="P80" s="5">
        <f t="shared" si="7"/>
        <v>0.05727039185</v>
      </c>
      <c r="Q80" s="5">
        <f t="shared" si="8"/>
        <v>0.004185375438</v>
      </c>
      <c r="R80" s="5">
        <f t="shared" si="9"/>
        <v>0.01560966175</v>
      </c>
      <c r="S80" s="5">
        <f t="shared" ref="S80:T80" si="91">G80/J80</f>
        <v>0.02577167633</v>
      </c>
      <c r="T80" s="5">
        <f t="shared" si="91"/>
        <v>0.6990419186</v>
      </c>
      <c r="U80" s="5">
        <f t="shared" si="11"/>
        <v>0.1874321765</v>
      </c>
      <c r="V80" s="5">
        <f t="shared" si="12"/>
        <v>0.1135259049</v>
      </c>
      <c r="W80" s="5">
        <f t="shared" si="13"/>
        <v>153.806565</v>
      </c>
      <c r="X80" s="5">
        <f t="shared" si="14"/>
        <v>341.7923667</v>
      </c>
    </row>
    <row r="81" ht="15.75" customHeight="1">
      <c r="A81" s="5" t="s">
        <v>153</v>
      </c>
      <c r="B81" s="5" t="s">
        <v>92</v>
      </c>
      <c r="C81" s="5">
        <v>100.0</v>
      </c>
      <c r="D81" s="5" t="s">
        <v>154</v>
      </c>
      <c r="E81" s="5">
        <v>8.03958333333333</v>
      </c>
      <c r="F81" s="5">
        <v>59.0</v>
      </c>
      <c r="G81" s="5">
        <f t="shared" si="2"/>
        <v>4.743354167</v>
      </c>
      <c r="H81" s="5">
        <v>1145.51821651437</v>
      </c>
      <c r="I81" s="5">
        <v>340.779940506365</v>
      </c>
      <c r="J81" s="5">
        <v>186.502889111544</v>
      </c>
      <c r="K81" s="5">
        <v>1672.801046132279</v>
      </c>
      <c r="L81" s="5">
        <f t="shared" si="3"/>
        <v>0.00480606068</v>
      </c>
      <c r="M81" s="5">
        <f t="shared" si="4"/>
        <v>0.002835575801</v>
      </c>
      <c r="N81" s="5">
        <f t="shared" si="5"/>
        <v>0.007018293745</v>
      </c>
      <c r="O81" s="5">
        <f t="shared" si="6"/>
        <v>0.02359171529</v>
      </c>
      <c r="P81" s="5">
        <f t="shared" si="7"/>
        <v>0.04310701765</v>
      </c>
      <c r="Q81" s="5">
        <f t="shared" si="8"/>
        <v>0.004140793309</v>
      </c>
      <c r="R81" s="5">
        <f t="shared" si="9"/>
        <v>0.01391911202</v>
      </c>
      <c r="S81" s="5">
        <f t="shared" ref="S81:T81" si="92">G81/J81</f>
        <v>0.02543314042</v>
      </c>
      <c r="T81" s="5">
        <f t="shared" si="92"/>
        <v>0.6847904711</v>
      </c>
      <c r="U81" s="5">
        <f t="shared" si="11"/>
        <v>0.2037181536</v>
      </c>
      <c r="V81" s="5">
        <f t="shared" si="12"/>
        <v>0.1114913752</v>
      </c>
      <c r="W81" s="5">
        <f t="shared" si="13"/>
        <v>208.0706147</v>
      </c>
      <c r="X81" s="5">
        <f t="shared" si="14"/>
        <v>352.6620588</v>
      </c>
    </row>
    <row r="82" ht="15.75" customHeight="1">
      <c r="A82" s="5" t="s">
        <v>155</v>
      </c>
      <c r="B82" s="5" t="s">
        <v>94</v>
      </c>
      <c r="C82" s="5">
        <v>100.0</v>
      </c>
      <c r="D82" s="5" t="s">
        <v>26</v>
      </c>
      <c r="E82" s="5">
        <v>16.0645833333333</v>
      </c>
      <c r="F82" s="5">
        <v>100.0</v>
      </c>
      <c r="G82" s="5">
        <f t="shared" si="2"/>
        <v>16.06458333</v>
      </c>
      <c r="H82" s="5">
        <v>4652.2565387724</v>
      </c>
      <c r="I82" s="5">
        <v>435.195972250219</v>
      </c>
      <c r="J82" s="5">
        <v>589.586400273516</v>
      </c>
      <c r="K82" s="5">
        <v>5677.038911296135</v>
      </c>
      <c r="L82" s="5">
        <f t="shared" si="3"/>
        <v>0.002829746913</v>
      </c>
      <c r="M82" s="5">
        <f t="shared" si="4"/>
        <v>0.002829746913</v>
      </c>
      <c r="N82" s="5">
        <f t="shared" si="5"/>
        <v>0.003453073406</v>
      </c>
      <c r="O82" s="5">
        <f t="shared" si="6"/>
        <v>0.03691344672</v>
      </c>
      <c r="P82" s="5">
        <f t="shared" si="7"/>
        <v>0.02724720809</v>
      </c>
      <c r="Q82" s="5">
        <f t="shared" si="8"/>
        <v>0.003453073406</v>
      </c>
      <c r="R82" s="5">
        <f t="shared" si="9"/>
        <v>0.03691344672</v>
      </c>
      <c r="S82" s="5">
        <f t="shared" ref="S82:T82" si="93">G82/J82</f>
        <v>0.02724720809</v>
      </c>
      <c r="T82" s="5">
        <f t="shared" si="93"/>
        <v>0.8194864632</v>
      </c>
      <c r="U82" s="5">
        <f t="shared" si="11"/>
        <v>0.07665897293</v>
      </c>
      <c r="V82" s="5">
        <f t="shared" si="12"/>
        <v>0.1038545639</v>
      </c>
      <c r="W82" s="5">
        <f t="shared" si="13"/>
        <v>353.388494</v>
      </c>
      <c r="X82" s="5">
        <f t="shared" si="14"/>
        <v>353.388494</v>
      </c>
    </row>
    <row r="83" ht="15.75" customHeight="1">
      <c r="A83" s="3" t="s">
        <v>156</v>
      </c>
      <c r="B83" s="3" t="s">
        <v>157</v>
      </c>
      <c r="C83" s="3">
        <v>48.49</v>
      </c>
      <c r="D83" s="3" t="s">
        <v>36</v>
      </c>
      <c r="E83" s="3">
        <v>15.4791666666667</v>
      </c>
      <c r="F83" s="3">
        <v>100.0</v>
      </c>
      <c r="G83" s="3">
        <f t="shared" si="2"/>
        <v>15.47916667</v>
      </c>
      <c r="H83" s="3">
        <v>5184.5641750671</v>
      </c>
      <c r="I83" s="3">
        <v>330.180757734068</v>
      </c>
      <c r="J83" s="3">
        <v>5.7778303020061</v>
      </c>
      <c r="K83" s="3">
        <v>5520.522763103174</v>
      </c>
      <c r="L83" s="3">
        <f t="shared" si="3"/>
        <v>0.002803931318</v>
      </c>
      <c r="M83" s="3">
        <f t="shared" si="4"/>
        <v>0.002803931318</v>
      </c>
      <c r="N83" s="3">
        <f t="shared" si="5"/>
        <v>0.002985625434</v>
      </c>
      <c r="O83" s="3">
        <f t="shared" si="6"/>
        <v>0.04688088662</v>
      </c>
      <c r="P83" s="3">
        <f t="shared" si="7"/>
        <v>2.679062184</v>
      </c>
      <c r="Q83" s="3">
        <f t="shared" si="8"/>
        <v>0.002985625434</v>
      </c>
      <c r="R83" s="3">
        <f t="shared" si="9"/>
        <v>0.04688088662</v>
      </c>
      <c r="S83" s="3">
        <f t="shared" ref="S83:T83" si="94">G83/J83</f>
        <v>2.679062184</v>
      </c>
      <c r="T83" s="3">
        <f t="shared" si="94"/>
        <v>0.9391437003</v>
      </c>
      <c r="U83" s="3">
        <f t="shared" si="11"/>
        <v>0.05980969048</v>
      </c>
      <c r="V83" s="3">
        <f t="shared" si="12"/>
        <v>0.001046609271</v>
      </c>
      <c r="W83" s="3">
        <f t="shared" si="13"/>
        <v>356.6421166</v>
      </c>
      <c r="X83" s="3">
        <f t="shared" si="14"/>
        <v>356.6421166</v>
      </c>
      <c r="Y83" s="3"/>
      <c r="Z83" s="3"/>
    </row>
    <row r="84" ht="15.75" customHeight="1">
      <c r="A84" s="5" t="s">
        <v>158</v>
      </c>
      <c r="B84" s="5" t="s">
        <v>64</v>
      </c>
      <c r="C84" s="5">
        <v>54.55</v>
      </c>
      <c r="D84" s="5" t="s">
        <v>71</v>
      </c>
      <c r="E84" s="5">
        <v>11.3809996191661</v>
      </c>
      <c r="F84" s="5">
        <v>45.0</v>
      </c>
      <c r="G84" s="5">
        <f t="shared" si="2"/>
        <v>5.121449829</v>
      </c>
      <c r="H84" s="5">
        <v>1277.21127399482</v>
      </c>
      <c r="I84" s="5">
        <v>342.455126869744</v>
      </c>
      <c r="J84" s="5">
        <v>207.421846646418</v>
      </c>
      <c r="K84" s="5">
        <v>1827.088247510982</v>
      </c>
      <c r="L84" s="5">
        <f t="shared" si="3"/>
        <v>0.00622903663</v>
      </c>
      <c r="M84" s="5">
        <f t="shared" si="4"/>
        <v>0.002803066483</v>
      </c>
      <c r="N84" s="5">
        <f t="shared" si="5"/>
        <v>0.008910819886</v>
      </c>
      <c r="O84" s="5">
        <f t="shared" si="6"/>
        <v>0.03323355011</v>
      </c>
      <c r="P84" s="5">
        <f t="shared" si="7"/>
        <v>0.05486885689</v>
      </c>
      <c r="Q84" s="5">
        <f t="shared" si="8"/>
        <v>0.004009868949</v>
      </c>
      <c r="R84" s="5">
        <f t="shared" si="9"/>
        <v>0.01495509755</v>
      </c>
      <c r="S84" s="5">
        <f t="shared" ref="S84:T84" si="95">G84/J84</f>
        <v>0.0246909856</v>
      </c>
      <c r="T84" s="5">
        <f t="shared" si="95"/>
        <v>0.6990419186</v>
      </c>
      <c r="U84" s="5">
        <f t="shared" si="11"/>
        <v>0.1874321765</v>
      </c>
      <c r="V84" s="5">
        <f t="shared" si="12"/>
        <v>0.1135259049</v>
      </c>
      <c r="W84" s="5">
        <f t="shared" si="13"/>
        <v>160.5384684</v>
      </c>
      <c r="X84" s="5">
        <f t="shared" si="14"/>
        <v>356.752152</v>
      </c>
    </row>
    <row r="85" ht="15.75" customHeight="1">
      <c r="A85" s="5" t="s">
        <v>159</v>
      </c>
      <c r="B85" s="5" t="s">
        <v>94</v>
      </c>
      <c r="C85" s="5">
        <v>100.0</v>
      </c>
      <c r="D85" s="5" t="s">
        <v>26</v>
      </c>
      <c r="E85" s="5">
        <v>15.58125</v>
      </c>
      <c r="F85" s="5">
        <v>100.0</v>
      </c>
      <c r="G85" s="5">
        <f t="shared" si="2"/>
        <v>15.58125</v>
      </c>
      <c r="H85" s="5">
        <v>4652.2565387724</v>
      </c>
      <c r="I85" s="5">
        <v>435.195972250219</v>
      </c>
      <c r="J85" s="5">
        <v>589.586400273516</v>
      </c>
      <c r="K85" s="5">
        <v>5677.038911296135</v>
      </c>
      <c r="L85" s="5">
        <f t="shared" si="3"/>
        <v>0.002744608632</v>
      </c>
      <c r="M85" s="5">
        <f t="shared" si="4"/>
        <v>0.002744608632</v>
      </c>
      <c r="N85" s="5">
        <f t="shared" si="5"/>
        <v>0.003349181171</v>
      </c>
      <c r="O85" s="5">
        <f t="shared" si="6"/>
        <v>0.03580283595</v>
      </c>
      <c r="P85" s="5">
        <f t="shared" si="7"/>
        <v>0.02642742437</v>
      </c>
      <c r="Q85" s="5">
        <f t="shared" si="8"/>
        <v>0.003349181171</v>
      </c>
      <c r="R85" s="5">
        <f t="shared" si="9"/>
        <v>0.03580283595</v>
      </c>
      <c r="S85" s="5">
        <f t="shared" ref="S85:T85" si="96">G85/J85</f>
        <v>0.02642742437</v>
      </c>
      <c r="T85" s="5">
        <f t="shared" si="96"/>
        <v>0.8194864632</v>
      </c>
      <c r="U85" s="5">
        <f t="shared" si="11"/>
        <v>0.07665897293</v>
      </c>
      <c r="V85" s="5">
        <f t="shared" si="12"/>
        <v>0.1038545639</v>
      </c>
      <c r="W85" s="5">
        <f t="shared" si="13"/>
        <v>364.3506722</v>
      </c>
      <c r="X85" s="5">
        <f t="shared" si="14"/>
        <v>364.3506722</v>
      </c>
    </row>
    <row r="86" ht="15.75" customHeight="1">
      <c r="A86" s="3" t="s">
        <v>160</v>
      </c>
      <c r="B86" s="3" t="s">
        <v>161</v>
      </c>
      <c r="C86" s="3">
        <v>43.26</v>
      </c>
      <c r="D86" s="3" t="s">
        <v>26</v>
      </c>
      <c r="E86" s="3">
        <v>18.4729166666667</v>
      </c>
      <c r="F86" s="3">
        <v>100.0</v>
      </c>
      <c r="G86" s="3">
        <f t="shared" si="2"/>
        <v>18.47291667</v>
      </c>
      <c r="H86" s="3">
        <v>6111.6591835295</v>
      </c>
      <c r="I86" s="3">
        <v>707.855170050178</v>
      </c>
      <c r="J86" s="3">
        <v>221.834128492978</v>
      </c>
      <c r="K86" s="3">
        <v>7041.348482072656</v>
      </c>
      <c r="L86" s="3">
        <f t="shared" si="3"/>
        <v>0.002623491326</v>
      </c>
      <c r="M86" s="3">
        <f t="shared" si="4"/>
        <v>0.002623491326</v>
      </c>
      <c r="N86" s="3">
        <f t="shared" si="5"/>
        <v>0.003022569831</v>
      </c>
      <c r="O86" s="3">
        <f t="shared" si="6"/>
        <v>0.02609702867</v>
      </c>
      <c r="P86" s="3">
        <f t="shared" si="7"/>
        <v>0.08327355575</v>
      </c>
      <c r="Q86" s="3">
        <f t="shared" si="8"/>
        <v>0.003022569831</v>
      </c>
      <c r="R86" s="3">
        <f t="shared" si="9"/>
        <v>0.02609702867</v>
      </c>
      <c r="S86" s="3">
        <f t="shared" ref="S86:T86" si="97">G86/J86</f>
        <v>0.08327355575</v>
      </c>
      <c r="T86" s="3">
        <f t="shared" si="97"/>
        <v>0.8679671513</v>
      </c>
      <c r="U86" s="3">
        <f t="shared" si="11"/>
        <v>0.1005283536</v>
      </c>
      <c r="V86" s="3">
        <f t="shared" si="12"/>
        <v>0.03150449506</v>
      </c>
      <c r="W86" s="3">
        <f t="shared" si="13"/>
        <v>381.1714527</v>
      </c>
      <c r="X86" s="3">
        <f t="shared" si="14"/>
        <v>381.1714527</v>
      </c>
      <c r="Y86" s="3"/>
      <c r="Z86" s="3"/>
    </row>
    <row r="87" ht="15.75" customHeight="1">
      <c r="A87" s="3" t="s">
        <v>162</v>
      </c>
      <c r="B87" s="3" t="s">
        <v>163</v>
      </c>
      <c r="C87" s="3">
        <v>48.3</v>
      </c>
      <c r="D87" s="3" t="s">
        <v>36</v>
      </c>
      <c r="E87" s="3">
        <v>17.8541666666667</v>
      </c>
      <c r="F87" s="3">
        <v>100.0</v>
      </c>
      <c r="G87" s="3">
        <f t="shared" si="2"/>
        <v>17.85416667</v>
      </c>
      <c r="H87" s="3">
        <v>6366.39415492142</v>
      </c>
      <c r="I87" s="3">
        <v>241.74917236811</v>
      </c>
      <c r="J87" s="3">
        <v>199.149452218639</v>
      </c>
      <c r="K87" s="3">
        <v>6807.292779508169</v>
      </c>
      <c r="L87" s="3">
        <f t="shared" si="3"/>
        <v>0.002622799877</v>
      </c>
      <c r="M87" s="3">
        <f t="shared" si="4"/>
        <v>0.002622799877</v>
      </c>
      <c r="N87" s="3">
        <f t="shared" si="5"/>
        <v>0.00280443941</v>
      </c>
      <c r="O87" s="3">
        <f t="shared" si="6"/>
        <v>0.07385409634</v>
      </c>
      <c r="P87" s="3">
        <f t="shared" si="7"/>
        <v>0.08965210031</v>
      </c>
      <c r="Q87" s="3">
        <f t="shared" si="8"/>
        <v>0.00280443941</v>
      </c>
      <c r="R87" s="3">
        <f t="shared" si="9"/>
        <v>0.07385409634</v>
      </c>
      <c r="S87" s="3">
        <f t="shared" ref="S87:T87" si="98">G87/J87</f>
        <v>0.08965210031</v>
      </c>
      <c r="T87" s="3">
        <f t="shared" si="98"/>
        <v>0.9352314292</v>
      </c>
      <c r="U87" s="3">
        <f t="shared" si="11"/>
        <v>0.03551326206</v>
      </c>
      <c r="V87" s="3">
        <f t="shared" si="12"/>
        <v>0.02925530878</v>
      </c>
      <c r="W87" s="3">
        <f t="shared" si="13"/>
        <v>381.271941</v>
      </c>
      <c r="X87" s="3">
        <f t="shared" si="14"/>
        <v>381.271941</v>
      </c>
      <c r="Y87" s="3"/>
      <c r="Z87" s="3"/>
    </row>
    <row r="88" ht="15.75" customHeight="1">
      <c r="A88" s="5" t="s">
        <v>164</v>
      </c>
      <c r="B88" s="5" t="s">
        <v>92</v>
      </c>
      <c r="C88" s="5">
        <v>100.0</v>
      </c>
      <c r="D88" s="5" t="s">
        <v>154</v>
      </c>
      <c r="E88" s="5">
        <v>7.32328586956522</v>
      </c>
      <c r="F88" s="5">
        <v>59.0</v>
      </c>
      <c r="G88" s="5">
        <f t="shared" si="2"/>
        <v>4.320738663</v>
      </c>
      <c r="H88" s="5">
        <v>1145.51821651437</v>
      </c>
      <c r="I88" s="5">
        <v>340.779940506365</v>
      </c>
      <c r="J88" s="5">
        <v>186.502889111544</v>
      </c>
      <c r="K88" s="5">
        <v>1672.801046132279</v>
      </c>
      <c r="L88" s="5">
        <f t="shared" si="3"/>
        <v>0.004377858255</v>
      </c>
      <c r="M88" s="5">
        <f t="shared" si="4"/>
        <v>0.002582936371</v>
      </c>
      <c r="N88" s="5">
        <f t="shared" si="5"/>
        <v>0.006392989447</v>
      </c>
      <c r="O88" s="5">
        <f t="shared" si="6"/>
        <v>0.02148977976</v>
      </c>
      <c r="P88" s="5">
        <f t="shared" si="7"/>
        <v>0.03926634008</v>
      </c>
      <c r="Q88" s="5">
        <f t="shared" si="8"/>
        <v>0.003771863774</v>
      </c>
      <c r="R88" s="5">
        <f t="shared" si="9"/>
        <v>0.01267897006</v>
      </c>
      <c r="S88" s="5">
        <f t="shared" ref="S88:T88" si="99">G88/J88</f>
        <v>0.02316714065</v>
      </c>
      <c r="T88" s="5">
        <f t="shared" si="99"/>
        <v>0.6847904711</v>
      </c>
      <c r="U88" s="5">
        <f t="shared" si="11"/>
        <v>0.2037181536</v>
      </c>
      <c r="V88" s="5">
        <f t="shared" si="12"/>
        <v>0.1114913752</v>
      </c>
      <c r="W88" s="5">
        <f t="shared" si="13"/>
        <v>228.4221968</v>
      </c>
      <c r="X88" s="5">
        <f t="shared" si="14"/>
        <v>387.1562658</v>
      </c>
    </row>
    <row r="89" ht="15.75" customHeight="1">
      <c r="A89" s="5" t="s">
        <v>165</v>
      </c>
      <c r="B89" s="5" t="s">
        <v>92</v>
      </c>
      <c r="C89" s="5">
        <v>100.0</v>
      </c>
      <c r="D89" s="5" t="s">
        <v>154</v>
      </c>
      <c r="E89" s="5">
        <v>7.24188297101449</v>
      </c>
      <c r="F89" s="5">
        <v>59.0</v>
      </c>
      <c r="G89" s="5">
        <f t="shared" si="2"/>
        <v>4.272710953</v>
      </c>
      <c r="H89" s="5">
        <v>1145.51821651437</v>
      </c>
      <c r="I89" s="5">
        <v>340.779940506365</v>
      </c>
      <c r="J89" s="5">
        <v>186.502889111544</v>
      </c>
      <c r="K89" s="5">
        <v>1672.801046132279</v>
      </c>
      <c r="L89" s="5">
        <f t="shared" si="3"/>
        <v>0.004329195625</v>
      </c>
      <c r="M89" s="5">
        <f t="shared" si="4"/>
        <v>0.002554225419</v>
      </c>
      <c r="N89" s="5">
        <f t="shared" si="5"/>
        <v>0.006321927375</v>
      </c>
      <c r="O89" s="5">
        <f t="shared" si="6"/>
        <v>0.02125090743</v>
      </c>
      <c r="P89" s="5">
        <f t="shared" si="7"/>
        <v>0.03882987017</v>
      </c>
      <c r="Q89" s="5">
        <f t="shared" si="8"/>
        <v>0.003729937151</v>
      </c>
      <c r="R89" s="5">
        <f t="shared" si="9"/>
        <v>0.01253803539</v>
      </c>
      <c r="S89" s="5">
        <f t="shared" ref="S89:T89" si="100">G89/J89</f>
        <v>0.0229096234</v>
      </c>
      <c r="T89" s="5">
        <f t="shared" si="100"/>
        <v>0.6847904711</v>
      </c>
      <c r="U89" s="5">
        <f t="shared" si="11"/>
        <v>0.2037181536</v>
      </c>
      <c r="V89" s="5">
        <f t="shared" si="12"/>
        <v>0.1114913752</v>
      </c>
      <c r="W89" s="5">
        <f t="shared" si="13"/>
        <v>230.9897927</v>
      </c>
      <c r="X89" s="5">
        <f t="shared" si="14"/>
        <v>391.5081232</v>
      </c>
    </row>
    <row r="90" ht="15.75" customHeight="1">
      <c r="A90" s="5" t="s">
        <v>166</v>
      </c>
      <c r="B90" s="5" t="s">
        <v>92</v>
      </c>
      <c r="C90" s="5">
        <v>100.0</v>
      </c>
      <c r="D90" s="5" t="s">
        <v>154</v>
      </c>
      <c r="E90" s="5">
        <v>7.15853985507246</v>
      </c>
      <c r="F90" s="5">
        <v>59.0</v>
      </c>
      <c r="G90" s="5">
        <f t="shared" si="2"/>
        <v>4.223538514</v>
      </c>
      <c r="H90" s="5">
        <v>1145.51821651437</v>
      </c>
      <c r="I90" s="5">
        <v>340.779940506365</v>
      </c>
      <c r="J90" s="5">
        <v>186.502889111544</v>
      </c>
      <c r="K90" s="5">
        <v>1672.801046132279</v>
      </c>
      <c r="L90" s="5">
        <f t="shared" si="3"/>
        <v>0.004279373134</v>
      </c>
      <c r="M90" s="5">
        <f t="shared" si="4"/>
        <v>0.002524830149</v>
      </c>
      <c r="N90" s="5">
        <f t="shared" si="5"/>
        <v>0.006249171556</v>
      </c>
      <c r="O90" s="5">
        <f t="shared" si="6"/>
        <v>0.02100634164</v>
      </c>
      <c r="P90" s="5">
        <f t="shared" si="7"/>
        <v>0.03838299712</v>
      </c>
      <c r="Q90" s="5">
        <f t="shared" si="8"/>
        <v>0.003687011218</v>
      </c>
      <c r="R90" s="5">
        <f t="shared" si="9"/>
        <v>0.01239374157</v>
      </c>
      <c r="S90" s="5">
        <f t="shared" ref="S90:T90" si="101">G90/J90</f>
        <v>0.0226459683</v>
      </c>
      <c r="T90" s="5">
        <f t="shared" si="101"/>
        <v>0.6847904711</v>
      </c>
      <c r="U90" s="5">
        <f t="shared" si="11"/>
        <v>0.2037181536</v>
      </c>
      <c r="V90" s="5">
        <f t="shared" si="12"/>
        <v>0.1114913752</v>
      </c>
      <c r="W90" s="5">
        <f t="shared" si="13"/>
        <v>233.6790854</v>
      </c>
      <c r="X90" s="5">
        <f t="shared" si="14"/>
        <v>396.0662464</v>
      </c>
    </row>
    <row r="91" ht="15.75" customHeight="1">
      <c r="A91" s="3" t="s">
        <v>167</v>
      </c>
      <c r="B91" s="3" t="s">
        <v>168</v>
      </c>
      <c r="C91" s="3">
        <v>38.91</v>
      </c>
      <c r="D91" s="3" t="s">
        <v>50</v>
      </c>
      <c r="E91" s="3">
        <v>18.9645833333333</v>
      </c>
      <c r="F91" s="3">
        <v>60.0</v>
      </c>
      <c r="G91" s="3">
        <f t="shared" si="2"/>
        <v>11.37875</v>
      </c>
      <c r="H91" s="3">
        <v>3711.71413432421</v>
      </c>
      <c r="I91" s="3">
        <v>200.7457721489</v>
      </c>
      <c r="J91" s="3">
        <v>594.886909394881</v>
      </c>
      <c r="K91" s="3">
        <v>4507.346815867991</v>
      </c>
      <c r="L91" s="3">
        <f t="shared" si="3"/>
        <v>0.004207482607</v>
      </c>
      <c r="M91" s="3">
        <f t="shared" si="4"/>
        <v>0.002524489564</v>
      </c>
      <c r="N91" s="3">
        <f t="shared" si="5"/>
        <v>0.005109386835</v>
      </c>
      <c r="O91" s="3">
        <f t="shared" si="6"/>
        <v>0.09447064877</v>
      </c>
      <c r="P91" s="3">
        <f t="shared" si="7"/>
        <v>0.03187930854</v>
      </c>
      <c r="Q91" s="3">
        <f t="shared" si="8"/>
        <v>0.003065632101</v>
      </c>
      <c r="R91" s="3">
        <f t="shared" si="9"/>
        <v>0.05668238926</v>
      </c>
      <c r="S91" s="3">
        <f t="shared" ref="S91:T91" si="102">G91/J91</f>
        <v>0.01912758513</v>
      </c>
      <c r="T91" s="3">
        <f t="shared" si="102"/>
        <v>0.823480927</v>
      </c>
      <c r="U91" s="3">
        <f t="shared" si="11"/>
        <v>0.04453745859</v>
      </c>
      <c r="V91" s="3">
        <f t="shared" si="12"/>
        <v>0.1319816144</v>
      </c>
      <c r="W91" s="3">
        <f t="shared" si="13"/>
        <v>237.6718084</v>
      </c>
      <c r="X91" s="3">
        <f t="shared" si="14"/>
        <v>396.1196806</v>
      </c>
      <c r="Y91" s="3"/>
      <c r="Z91" s="3"/>
    </row>
    <row r="92" ht="15.75" customHeight="1">
      <c r="A92" s="5" t="s">
        <v>169</v>
      </c>
      <c r="B92" s="5" t="s">
        <v>170</v>
      </c>
      <c r="C92" s="5">
        <v>100.0</v>
      </c>
      <c r="D92" s="5" t="s">
        <v>96</v>
      </c>
      <c r="E92" s="5">
        <v>8.303</v>
      </c>
      <c r="F92" s="5">
        <v>37.0</v>
      </c>
      <c r="G92" s="5">
        <f t="shared" si="2"/>
        <v>3.07211</v>
      </c>
      <c r="H92" s="5">
        <v>947.196348038685</v>
      </c>
      <c r="I92" s="5">
        <v>81.2263955986409</v>
      </c>
      <c r="J92" s="5">
        <v>193.930919677353</v>
      </c>
      <c r="K92" s="5">
        <v>1222.353663314679</v>
      </c>
      <c r="L92" s="5">
        <f t="shared" si="3"/>
        <v>0.006792633138</v>
      </c>
      <c r="M92" s="5">
        <f t="shared" si="4"/>
        <v>0.002513274261</v>
      </c>
      <c r="N92" s="5">
        <f t="shared" si="5"/>
        <v>0.008765869946</v>
      </c>
      <c r="O92" s="5">
        <f t="shared" si="6"/>
        <v>0.1022204659</v>
      </c>
      <c r="P92" s="5">
        <f t="shared" si="7"/>
        <v>0.04281421453</v>
      </c>
      <c r="Q92" s="5">
        <f t="shared" si="8"/>
        <v>0.00324337188</v>
      </c>
      <c r="R92" s="5">
        <f t="shared" si="9"/>
        <v>0.03782157238</v>
      </c>
      <c r="S92" s="5">
        <f t="shared" ref="S92:T92" si="103">G92/J92</f>
        <v>0.01584125938</v>
      </c>
      <c r="T92" s="5">
        <f t="shared" si="103"/>
        <v>0.7748954959</v>
      </c>
      <c r="U92" s="5">
        <f t="shared" si="11"/>
        <v>0.06645081373</v>
      </c>
      <c r="V92" s="5">
        <f t="shared" si="12"/>
        <v>0.1586536904</v>
      </c>
      <c r="W92" s="5">
        <f t="shared" si="13"/>
        <v>147.2183143</v>
      </c>
      <c r="X92" s="5">
        <f t="shared" si="14"/>
        <v>397.8873358</v>
      </c>
    </row>
    <row r="93" ht="15.75" customHeight="1">
      <c r="A93" s="5" t="s">
        <v>171</v>
      </c>
      <c r="B93" s="5" t="s">
        <v>90</v>
      </c>
      <c r="C93" s="5">
        <v>100.0</v>
      </c>
      <c r="D93" s="5" t="s">
        <v>33</v>
      </c>
      <c r="E93" s="5">
        <v>12.6005</v>
      </c>
      <c r="F93" s="5">
        <v>100.0</v>
      </c>
      <c r="G93" s="5">
        <f t="shared" si="2"/>
        <v>12.6005</v>
      </c>
      <c r="H93" s="5">
        <v>4264.41046200854</v>
      </c>
      <c r="I93" s="5">
        <v>438.660008395035</v>
      </c>
      <c r="J93" s="5">
        <v>357.275288744589</v>
      </c>
      <c r="K93" s="5">
        <v>5060.345759148164</v>
      </c>
      <c r="L93" s="5">
        <f t="shared" si="3"/>
        <v>0.002490047242</v>
      </c>
      <c r="M93" s="5">
        <f t="shared" si="4"/>
        <v>0.002490047242</v>
      </c>
      <c r="N93" s="5">
        <f t="shared" si="5"/>
        <v>0.002954804682</v>
      </c>
      <c r="O93" s="5">
        <f t="shared" si="6"/>
        <v>0.02872498007</v>
      </c>
      <c r="P93" s="5">
        <f t="shared" si="7"/>
        <v>0.03526832221</v>
      </c>
      <c r="Q93" s="5">
        <f t="shared" si="8"/>
        <v>0.002954804682</v>
      </c>
      <c r="R93" s="5">
        <f t="shared" si="9"/>
        <v>0.02872498007</v>
      </c>
      <c r="S93" s="5">
        <f t="shared" ref="S93:T93" si="104">G93/J93</f>
        <v>0.03526832221</v>
      </c>
      <c r="T93" s="5">
        <f t="shared" si="104"/>
        <v>0.842711282</v>
      </c>
      <c r="U93" s="5">
        <f t="shared" si="11"/>
        <v>0.08668577786</v>
      </c>
      <c r="V93" s="5">
        <f t="shared" si="12"/>
        <v>0.07060294014</v>
      </c>
      <c r="W93" s="5">
        <f t="shared" si="13"/>
        <v>401.5988063</v>
      </c>
      <c r="X93" s="5">
        <f t="shared" si="14"/>
        <v>401.5988063</v>
      </c>
    </row>
    <row r="94" ht="15.75" customHeight="1">
      <c r="A94" s="5" t="s">
        <v>172</v>
      </c>
      <c r="B94" s="5" t="s">
        <v>92</v>
      </c>
      <c r="C94" s="5">
        <v>100.0</v>
      </c>
      <c r="D94" s="5" t="s">
        <v>154</v>
      </c>
      <c r="E94" s="5">
        <v>7.02694977474213</v>
      </c>
      <c r="F94" s="5">
        <v>59.0</v>
      </c>
      <c r="G94" s="5">
        <f t="shared" si="2"/>
        <v>4.145900367</v>
      </c>
      <c r="H94" s="5">
        <v>1145.51821651437</v>
      </c>
      <c r="I94" s="5">
        <v>340.779940506365</v>
      </c>
      <c r="J94" s="5">
        <v>186.502889111544</v>
      </c>
      <c r="K94" s="5">
        <v>1672.801046132279</v>
      </c>
      <c r="L94" s="5">
        <f t="shared" si="3"/>
        <v>0.00420070862</v>
      </c>
      <c r="M94" s="5">
        <f t="shared" si="4"/>
        <v>0.002478418086</v>
      </c>
      <c r="N94" s="5">
        <f t="shared" si="5"/>
        <v>0.006134297712</v>
      </c>
      <c r="O94" s="5">
        <f t="shared" si="6"/>
        <v>0.02062019779</v>
      </c>
      <c r="P94" s="5">
        <f t="shared" si="7"/>
        <v>0.03767743121</v>
      </c>
      <c r="Q94" s="5">
        <f t="shared" si="8"/>
        <v>0.00361923565</v>
      </c>
      <c r="R94" s="5">
        <f t="shared" si="9"/>
        <v>0.01216591669</v>
      </c>
      <c r="S94" s="5">
        <f t="shared" ref="S94:T94" si="105">G94/J94</f>
        <v>0.02222968441</v>
      </c>
      <c r="T94" s="5">
        <f t="shared" si="105"/>
        <v>0.6847904711</v>
      </c>
      <c r="U94" s="5">
        <f t="shared" si="11"/>
        <v>0.2037181536</v>
      </c>
      <c r="V94" s="5">
        <f t="shared" si="12"/>
        <v>0.1114913752</v>
      </c>
      <c r="W94" s="5">
        <f t="shared" si="13"/>
        <v>238.0550736</v>
      </c>
      <c r="X94" s="5">
        <f t="shared" si="14"/>
        <v>403.4831757</v>
      </c>
    </row>
    <row r="95" ht="15.75" customHeight="1">
      <c r="A95" s="5" t="s">
        <v>173</v>
      </c>
      <c r="B95" s="5" t="s">
        <v>64</v>
      </c>
      <c r="C95" s="5">
        <v>100.0</v>
      </c>
      <c r="D95" s="5" t="s">
        <v>71</v>
      </c>
      <c r="E95" s="5">
        <v>9.99565217391304</v>
      </c>
      <c r="F95" s="5">
        <v>45.0</v>
      </c>
      <c r="G95" s="5">
        <f t="shared" si="2"/>
        <v>4.498043478</v>
      </c>
      <c r="H95" s="5">
        <v>1277.21127399482</v>
      </c>
      <c r="I95" s="5">
        <v>342.455126869744</v>
      </c>
      <c r="J95" s="5">
        <v>207.421846646418</v>
      </c>
      <c r="K95" s="5">
        <v>1827.088247510982</v>
      </c>
      <c r="L95" s="5">
        <f t="shared" si="3"/>
        <v>0.005470809736</v>
      </c>
      <c r="M95" s="5">
        <f t="shared" si="4"/>
        <v>0.002461864381</v>
      </c>
      <c r="N95" s="5">
        <f t="shared" si="5"/>
        <v>0.007826154042</v>
      </c>
      <c r="O95" s="5">
        <f t="shared" si="6"/>
        <v>0.02918821004</v>
      </c>
      <c r="P95" s="5">
        <f t="shared" si="7"/>
        <v>0.0481899681</v>
      </c>
      <c r="Q95" s="5">
        <f t="shared" si="8"/>
        <v>0.003521769319</v>
      </c>
      <c r="R95" s="5">
        <f t="shared" si="9"/>
        <v>0.01313469452</v>
      </c>
      <c r="S95" s="5">
        <f t="shared" ref="S95:T95" si="106">G95/J95</f>
        <v>0.02168548565</v>
      </c>
      <c r="T95" s="5">
        <f t="shared" si="106"/>
        <v>0.6990419186</v>
      </c>
      <c r="U95" s="5">
        <f t="shared" si="11"/>
        <v>0.1874321765</v>
      </c>
      <c r="V95" s="5">
        <f t="shared" si="12"/>
        <v>0.1135259049</v>
      </c>
      <c r="W95" s="5">
        <f t="shared" si="13"/>
        <v>182.7882979</v>
      </c>
      <c r="X95" s="5">
        <f t="shared" si="14"/>
        <v>406.1962176</v>
      </c>
    </row>
    <row r="96" ht="15.75" customHeight="1">
      <c r="A96" s="3" t="s">
        <v>174</v>
      </c>
      <c r="B96" s="3" t="s">
        <v>175</v>
      </c>
      <c r="C96" s="3">
        <v>45.74</v>
      </c>
      <c r="D96" s="3" t="s">
        <v>36</v>
      </c>
      <c r="E96" s="3">
        <v>7.94166666666667</v>
      </c>
      <c r="F96" s="3">
        <v>100.0</v>
      </c>
      <c r="G96" s="3">
        <f t="shared" si="2"/>
        <v>7.941666667</v>
      </c>
      <c r="H96" s="3">
        <v>3162.35074188951</v>
      </c>
      <c r="I96" s="3">
        <v>70.5578347573737</v>
      </c>
      <c r="J96" s="3">
        <v>33.5961495982512</v>
      </c>
      <c r="K96" s="3">
        <v>3266.504726245135</v>
      </c>
      <c r="L96" s="3">
        <f t="shared" si="3"/>
        <v>0.002431242974</v>
      </c>
      <c r="M96" s="3">
        <f t="shared" si="4"/>
        <v>0.002431242974</v>
      </c>
      <c r="N96" s="3">
        <f t="shared" si="5"/>
        <v>0.002511317471</v>
      </c>
      <c r="O96" s="3">
        <f t="shared" si="6"/>
        <v>0.1125554192</v>
      </c>
      <c r="P96" s="3">
        <f t="shared" si="7"/>
        <v>0.2363862157</v>
      </c>
      <c r="Q96" s="3">
        <f t="shared" si="8"/>
        <v>0.002511317471</v>
      </c>
      <c r="R96" s="3">
        <f t="shared" si="9"/>
        <v>0.1125554192</v>
      </c>
      <c r="S96" s="3">
        <f t="shared" ref="S96:T96" si="107">G96/J96</f>
        <v>0.2363862157</v>
      </c>
      <c r="T96" s="3">
        <f t="shared" si="107"/>
        <v>0.9681145466</v>
      </c>
      <c r="U96" s="3">
        <f t="shared" si="11"/>
        <v>0.02160040798</v>
      </c>
      <c r="V96" s="3">
        <f t="shared" si="12"/>
        <v>0.01028504546</v>
      </c>
      <c r="W96" s="3">
        <f t="shared" si="13"/>
        <v>411.3122425</v>
      </c>
      <c r="X96" s="3">
        <f t="shared" si="14"/>
        <v>411.3122425</v>
      </c>
      <c r="Y96" s="3"/>
      <c r="Z96" s="3"/>
    </row>
    <row r="97" ht="15.75" customHeight="1">
      <c r="A97" s="5" t="s">
        <v>176</v>
      </c>
      <c r="B97" s="5" t="s">
        <v>64</v>
      </c>
      <c r="C97" s="5">
        <v>100.0</v>
      </c>
      <c r="D97" s="5" t="s">
        <v>71</v>
      </c>
      <c r="E97" s="5">
        <v>9.79078260869565</v>
      </c>
      <c r="F97" s="5">
        <v>45.0</v>
      </c>
      <c r="G97" s="5">
        <f t="shared" si="2"/>
        <v>4.405852174</v>
      </c>
      <c r="H97" s="5">
        <v>1277.21127399482</v>
      </c>
      <c r="I97" s="5">
        <v>342.455126869744</v>
      </c>
      <c r="J97" s="5">
        <v>207.421846646418</v>
      </c>
      <c r="K97" s="5">
        <v>1827.088247510982</v>
      </c>
      <c r="L97" s="5">
        <f t="shared" si="3"/>
        <v>0.005358680744</v>
      </c>
      <c r="M97" s="5">
        <f t="shared" si="4"/>
        <v>0.002411406335</v>
      </c>
      <c r="N97" s="5">
        <f t="shared" si="5"/>
        <v>0.007665750223</v>
      </c>
      <c r="O97" s="5">
        <f t="shared" si="6"/>
        <v>0.02858997235</v>
      </c>
      <c r="P97" s="5">
        <f t="shared" si="7"/>
        <v>0.04720227289</v>
      </c>
      <c r="Q97" s="5">
        <f t="shared" si="8"/>
        <v>0.0034495876</v>
      </c>
      <c r="R97" s="5">
        <f t="shared" si="9"/>
        <v>0.01286548756</v>
      </c>
      <c r="S97" s="5">
        <f t="shared" ref="S97:T97" si="108">G97/J97</f>
        <v>0.0212410228</v>
      </c>
      <c r="T97" s="5">
        <f t="shared" si="108"/>
        <v>0.6990419186</v>
      </c>
      <c r="U97" s="5">
        <f t="shared" si="11"/>
        <v>0.1874321765</v>
      </c>
      <c r="V97" s="5">
        <f t="shared" si="12"/>
        <v>0.1135259049</v>
      </c>
      <c r="W97" s="5">
        <f t="shared" si="13"/>
        <v>186.6130952</v>
      </c>
      <c r="X97" s="5">
        <f t="shared" si="14"/>
        <v>414.6957672</v>
      </c>
    </row>
    <row r="98" ht="15.75" customHeight="1">
      <c r="A98" s="5" t="s">
        <v>177</v>
      </c>
      <c r="B98" s="5" t="s">
        <v>178</v>
      </c>
      <c r="C98" s="5">
        <v>85.45</v>
      </c>
      <c r="D98" s="5" t="s">
        <v>50</v>
      </c>
      <c r="E98" s="5">
        <v>23.1521739130435</v>
      </c>
      <c r="F98" s="5">
        <v>60.0</v>
      </c>
      <c r="G98" s="5">
        <f t="shared" si="2"/>
        <v>13.89130435</v>
      </c>
      <c r="H98" s="5">
        <v>4324.33203550365</v>
      </c>
      <c r="I98" s="5">
        <v>489.379450121911</v>
      </c>
      <c r="J98" s="5">
        <v>1059.93252766118</v>
      </c>
      <c r="K98" s="5">
        <v>5873.644013286741</v>
      </c>
      <c r="L98" s="5">
        <f t="shared" si="3"/>
        <v>0.00394170533</v>
      </c>
      <c r="M98" s="5">
        <f t="shared" si="4"/>
        <v>0.002365023198</v>
      </c>
      <c r="N98" s="5">
        <f t="shared" si="5"/>
        <v>0.00535393067</v>
      </c>
      <c r="O98" s="5">
        <f t="shared" si="6"/>
        <v>0.04730924829</v>
      </c>
      <c r="P98" s="5">
        <f t="shared" si="7"/>
        <v>0.02184306388</v>
      </c>
      <c r="Q98" s="5">
        <f t="shared" si="8"/>
        <v>0.003212358402</v>
      </c>
      <c r="R98" s="5">
        <f t="shared" si="9"/>
        <v>0.02838554897</v>
      </c>
      <c r="S98" s="5">
        <f t="shared" ref="S98:T98" si="109">G98/J98</f>
        <v>0.01310583833</v>
      </c>
      <c r="T98" s="5">
        <f t="shared" si="109"/>
        <v>0.7362264423</v>
      </c>
      <c r="U98" s="5">
        <f t="shared" si="11"/>
        <v>0.08331786009</v>
      </c>
      <c r="V98" s="5">
        <f t="shared" si="12"/>
        <v>0.1804556976</v>
      </c>
      <c r="W98" s="5">
        <f t="shared" si="13"/>
        <v>253.6973001</v>
      </c>
      <c r="X98" s="5">
        <f t="shared" si="14"/>
        <v>422.8288335</v>
      </c>
    </row>
    <row r="99" ht="15.75" customHeight="1">
      <c r="A99" s="6" t="s">
        <v>179</v>
      </c>
      <c r="B99" s="6" t="s">
        <v>180</v>
      </c>
      <c r="C99" s="6">
        <v>100.0</v>
      </c>
      <c r="D99" s="6" t="s">
        <v>26</v>
      </c>
      <c r="E99" s="6">
        <v>36.3645833333333</v>
      </c>
      <c r="F99" s="6">
        <v>100.0</v>
      </c>
      <c r="G99" s="6">
        <f t="shared" si="2"/>
        <v>36.36458333</v>
      </c>
      <c r="H99" s="6">
        <v>14413.5181795973</v>
      </c>
      <c r="I99" s="6">
        <v>550.137096488856</v>
      </c>
      <c r="J99" s="6">
        <v>450.87441653157</v>
      </c>
      <c r="K99" s="6">
        <v>15414.52969261773</v>
      </c>
      <c r="L99" s="6">
        <f t="shared" si="3"/>
        <v>0.002359110791</v>
      </c>
      <c r="M99" s="6">
        <f t="shared" si="4"/>
        <v>0.002359110791</v>
      </c>
      <c r="N99" s="6">
        <f t="shared" si="5"/>
        <v>0.002522949836</v>
      </c>
      <c r="O99" s="6">
        <f t="shared" si="6"/>
        <v>0.0661009475</v>
      </c>
      <c r="P99" s="6">
        <f t="shared" si="7"/>
        <v>0.08065346358</v>
      </c>
      <c r="Q99" s="6">
        <f t="shared" si="8"/>
        <v>0.002522949836</v>
      </c>
      <c r="R99" s="6">
        <f t="shared" si="9"/>
        <v>0.0661009475</v>
      </c>
      <c r="S99" s="6">
        <f t="shared" ref="S99:T99" si="110">G99/J99</f>
        <v>0.08065346358</v>
      </c>
      <c r="T99" s="6">
        <f t="shared" si="110"/>
        <v>0.9350605219</v>
      </c>
      <c r="U99" s="6">
        <f t="shared" si="11"/>
        <v>0.03568951551</v>
      </c>
      <c r="V99" s="6">
        <f t="shared" si="12"/>
        <v>0.02924996257</v>
      </c>
      <c r="W99" s="6">
        <f t="shared" si="13"/>
        <v>423.8885278</v>
      </c>
      <c r="X99" s="6">
        <f t="shared" si="14"/>
        <v>423.8885278</v>
      </c>
      <c r="Y99" s="6"/>
      <c r="Z99" s="6"/>
    </row>
    <row r="100" ht="15.75" customHeight="1">
      <c r="A100" s="6" t="s">
        <v>181</v>
      </c>
      <c r="B100" s="6" t="s">
        <v>180</v>
      </c>
      <c r="C100" s="6">
        <v>100.0</v>
      </c>
      <c r="D100" s="6" t="s">
        <v>26</v>
      </c>
      <c r="E100" s="6">
        <v>35.9</v>
      </c>
      <c r="F100" s="6">
        <v>100.0</v>
      </c>
      <c r="G100" s="6">
        <f t="shared" si="2"/>
        <v>35.9</v>
      </c>
      <c r="H100" s="6">
        <v>14413.5181795973</v>
      </c>
      <c r="I100" s="6">
        <v>550.137096488856</v>
      </c>
      <c r="J100" s="6">
        <v>450.87441653157</v>
      </c>
      <c r="K100" s="6">
        <v>15414.52969261773</v>
      </c>
      <c r="L100" s="6">
        <f t="shared" si="3"/>
        <v>0.002328971478</v>
      </c>
      <c r="M100" s="6">
        <f t="shared" si="4"/>
        <v>0.002328971478</v>
      </c>
      <c r="N100" s="6">
        <f t="shared" si="5"/>
        <v>0.002490717364</v>
      </c>
      <c r="O100" s="6">
        <f t="shared" si="6"/>
        <v>0.06525646103</v>
      </c>
      <c r="P100" s="6">
        <f t="shared" si="7"/>
        <v>0.0796230584</v>
      </c>
      <c r="Q100" s="6">
        <f t="shared" si="8"/>
        <v>0.002490717364</v>
      </c>
      <c r="R100" s="6">
        <f t="shared" si="9"/>
        <v>0.06525646103</v>
      </c>
      <c r="S100" s="6">
        <f t="shared" ref="S100:T100" si="111">G100/J100</f>
        <v>0.0796230584</v>
      </c>
      <c r="T100" s="6">
        <f t="shared" si="111"/>
        <v>0.9350605219</v>
      </c>
      <c r="U100" s="6">
        <f t="shared" si="11"/>
        <v>0.03568951551</v>
      </c>
      <c r="V100" s="6">
        <f t="shared" si="12"/>
        <v>0.02924996257</v>
      </c>
      <c r="W100" s="6">
        <f t="shared" si="13"/>
        <v>429.3740861</v>
      </c>
      <c r="X100" s="6">
        <f t="shared" si="14"/>
        <v>429.3740861</v>
      </c>
      <c r="Y100" s="6"/>
      <c r="Z100" s="6"/>
    </row>
    <row r="101" ht="15.75" customHeight="1">
      <c r="A101" s="6" t="s">
        <v>182</v>
      </c>
      <c r="B101" s="6" t="s">
        <v>180</v>
      </c>
      <c r="C101" s="6">
        <v>100.0</v>
      </c>
      <c r="D101" s="6" t="s">
        <v>26</v>
      </c>
      <c r="E101" s="6">
        <v>35.8833333333333</v>
      </c>
      <c r="F101" s="6">
        <v>100.0</v>
      </c>
      <c r="G101" s="6">
        <f t="shared" si="2"/>
        <v>35.88333333</v>
      </c>
      <c r="H101" s="6">
        <v>14413.5181795973</v>
      </c>
      <c r="I101" s="6">
        <v>550.137096488856</v>
      </c>
      <c r="J101" s="6">
        <v>450.87441653157</v>
      </c>
      <c r="K101" s="6">
        <v>15414.52969261773</v>
      </c>
      <c r="L101" s="6">
        <f t="shared" si="3"/>
        <v>0.002327890247</v>
      </c>
      <c r="M101" s="6">
        <f t="shared" si="4"/>
        <v>0.002327890247</v>
      </c>
      <c r="N101" s="6">
        <f t="shared" si="5"/>
        <v>0.002489561042</v>
      </c>
      <c r="O101" s="6">
        <f t="shared" si="6"/>
        <v>0.06522616555</v>
      </c>
      <c r="P101" s="6">
        <f t="shared" si="7"/>
        <v>0.0795860932</v>
      </c>
      <c r="Q101" s="6">
        <f t="shared" si="8"/>
        <v>0.002489561042</v>
      </c>
      <c r="R101" s="6">
        <f t="shared" si="9"/>
        <v>0.06522616555</v>
      </c>
      <c r="S101" s="6">
        <f t="shared" ref="S101:T101" si="112">G101/J101</f>
        <v>0.0795860932</v>
      </c>
      <c r="T101" s="6">
        <f t="shared" si="112"/>
        <v>0.9350605219</v>
      </c>
      <c r="U101" s="6">
        <f t="shared" si="11"/>
        <v>0.03568951551</v>
      </c>
      <c r="V101" s="6">
        <f t="shared" si="12"/>
        <v>0.02924996257</v>
      </c>
      <c r="W101" s="6">
        <f t="shared" si="13"/>
        <v>429.5735167</v>
      </c>
      <c r="X101" s="6">
        <f t="shared" si="14"/>
        <v>429.5735167</v>
      </c>
      <c r="Y101" s="6"/>
      <c r="Z101" s="6"/>
    </row>
    <row r="102" ht="15.75" customHeight="1">
      <c r="A102" s="5" t="s">
        <v>183</v>
      </c>
      <c r="B102" s="5" t="s">
        <v>64</v>
      </c>
      <c r="C102" s="5">
        <v>100.0</v>
      </c>
      <c r="D102" s="5" t="s">
        <v>71</v>
      </c>
      <c r="E102" s="5">
        <v>9.42516666666667</v>
      </c>
      <c r="F102" s="5">
        <v>45.0</v>
      </c>
      <c r="G102" s="5">
        <f t="shared" si="2"/>
        <v>4.241325</v>
      </c>
      <c r="H102" s="5">
        <v>1277.21127399482</v>
      </c>
      <c r="I102" s="5">
        <v>342.455126869744</v>
      </c>
      <c r="J102" s="5">
        <v>207.421846646418</v>
      </c>
      <c r="K102" s="5">
        <v>1827.088247510982</v>
      </c>
      <c r="L102" s="5">
        <f t="shared" si="3"/>
        <v>0.005158572214</v>
      </c>
      <c r="M102" s="5">
        <f t="shared" si="4"/>
        <v>0.002321357496</v>
      </c>
      <c r="N102" s="5">
        <f t="shared" si="5"/>
        <v>0.007379489094</v>
      </c>
      <c r="O102" s="5">
        <f t="shared" si="6"/>
        <v>0.02752234067</v>
      </c>
      <c r="P102" s="5">
        <f t="shared" si="7"/>
        <v>0.04543960445</v>
      </c>
      <c r="Q102" s="5">
        <f t="shared" si="8"/>
        <v>0.003320770092</v>
      </c>
      <c r="R102" s="5">
        <f t="shared" si="9"/>
        <v>0.0123850533</v>
      </c>
      <c r="S102" s="5">
        <f t="shared" ref="S102:T102" si="113">G102/J102</f>
        <v>0.020447822</v>
      </c>
      <c r="T102" s="5">
        <f t="shared" si="113"/>
        <v>0.6990419186</v>
      </c>
      <c r="U102" s="5">
        <f t="shared" si="11"/>
        <v>0.1874321765</v>
      </c>
      <c r="V102" s="5">
        <f t="shared" si="12"/>
        <v>0.1135259049</v>
      </c>
      <c r="W102" s="5">
        <f t="shared" si="13"/>
        <v>193.852089</v>
      </c>
      <c r="X102" s="5">
        <f t="shared" si="14"/>
        <v>430.78242</v>
      </c>
    </row>
    <row r="103" ht="15.75" customHeight="1">
      <c r="A103" s="5" t="s">
        <v>184</v>
      </c>
      <c r="B103" s="5" t="s">
        <v>185</v>
      </c>
      <c r="C103" s="5">
        <v>100.0</v>
      </c>
      <c r="D103" s="5" t="s">
        <v>26</v>
      </c>
      <c r="E103" s="5">
        <v>14.3708333333333</v>
      </c>
      <c r="F103" s="5">
        <v>100.0</v>
      </c>
      <c r="G103" s="5">
        <f t="shared" si="2"/>
        <v>14.37083333</v>
      </c>
      <c r="H103" s="5">
        <v>5117.48219264964</v>
      </c>
      <c r="I103" s="5">
        <v>471.572712332384</v>
      </c>
      <c r="J103" s="5">
        <v>648.545040300868</v>
      </c>
      <c r="K103" s="5">
        <v>6237.599945282892</v>
      </c>
      <c r="L103" s="5">
        <f t="shared" si="3"/>
        <v>0.0023039043</v>
      </c>
      <c r="M103" s="5">
        <f t="shared" si="4"/>
        <v>0.0023039043</v>
      </c>
      <c r="N103" s="5">
        <f t="shared" si="5"/>
        <v>0.002808184336</v>
      </c>
      <c r="O103" s="5">
        <f t="shared" si="6"/>
        <v>0.03047426825</v>
      </c>
      <c r="P103" s="5">
        <f t="shared" si="7"/>
        <v>0.0221585741</v>
      </c>
      <c r="Q103" s="5">
        <f t="shared" si="8"/>
        <v>0.002808184336</v>
      </c>
      <c r="R103" s="5">
        <f t="shared" si="9"/>
        <v>0.03047426825</v>
      </c>
      <c r="S103" s="5">
        <f t="shared" ref="S103:T103" si="114">G103/J103</f>
        <v>0.0221585741</v>
      </c>
      <c r="T103" s="5">
        <f t="shared" si="114"/>
        <v>0.820424881</v>
      </c>
      <c r="U103" s="5">
        <f t="shared" si="11"/>
        <v>0.07560162827</v>
      </c>
      <c r="V103" s="5">
        <f t="shared" si="12"/>
        <v>0.1039734908</v>
      </c>
      <c r="W103" s="5">
        <f t="shared" si="13"/>
        <v>434.0458066</v>
      </c>
      <c r="X103" s="5">
        <f t="shared" si="14"/>
        <v>434.0458066</v>
      </c>
    </row>
    <row r="104" ht="15.75" customHeight="1">
      <c r="A104" s="5" t="s">
        <v>186</v>
      </c>
      <c r="B104" s="5" t="s">
        <v>185</v>
      </c>
      <c r="C104" s="5">
        <v>100.0</v>
      </c>
      <c r="D104" s="5" t="s">
        <v>26</v>
      </c>
      <c r="E104" s="5">
        <v>14.2916666666667</v>
      </c>
      <c r="F104" s="5">
        <v>100.0</v>
      </c>
      <c r="G104" s="5">
        <f t="shared" si="2"/>
        <v>14.29166667</v>
      </c>
      <c r="H104" s="5">
        <v>5117.48219264964</v>
      </c>
      <c r="I104" s="5">
        <v>471.572712332384</v>
      </c>
      <c r="J104" s="5">
        <v>648.545040300868</v>
      </c>
      <c r="K104" s="5">
        <v>6237.599945282892</v>
      </c>
      <c r="L104" s="5">
        <f t="shared" si="3"/>
        <v>0.002291212452</v>
      </c>
      <c r="M104" s="5">
        <f t="shared" si="4"/>
        <v>0.002291212452</v>
      </c>
      <c r="N104" s="5">
        <f t="shared" si="5"/>
        <v>0.002792714489</v>
      </c>
      <c r="O104" s="5">
        <f t="shared" si="6"/>
        <v>0.03030639028</v>
      </c>
      <c r="P104" s="5">
        <f t="shared" si="7"/>
        <v>0.02203650599</v>
      </c>
      <c r="Q104" s="5">
        <f t="shared" si="8"/>
        <v>0.002792714489</v>
      </c>
      <c r="R104" s="5">
        <f t="shared" si="9"/>
        <v>0.03030639028</v>
      </c>
      <c r="S104" s="5">
        <f t="shared" ref="S104:T104" si="115">G104/J104</f>
        <v>0.02203650599</v>
      </c>
      <c r="T104" s="5">
        <f t="shared" si="115"/>
        <v>0.820424881</v>
      </c>
      <c r="U104" s="5">
        <f t="shared" si="11"/>
        <v>0.07560162827</v>
      </c>
      <c r="V104" s="5">
        <f t="shared" si="12"/>
        <v>0.1039734908</v>
      </c>
      <c r="W104" s="5">
        <f t="shared" si="13"/>
        <v>436.4501419</v>
      </c>
      <c r="X104" s="5">
        <f t="shared" si="14"/>
        <v>436.4501419</v>
      </c>
    </row>
    <row r="105" ht="15.75" customHeight="1">
      <c r="A105" s="6" t="s">
        <v>187</v>
      </c>
      <c r="B105" s="6" t="s">
        <v>180</v>
      </c>
      <c r="C105" s="6">
        <v>100.0</v>
      </c>
      <c r="D105" s="6" t="s">
        <v>26</v>
      </c>
      <c r="E105" s="6">
        <v>35.0633333333333</v>
      </c>
      <c r="F105" s="6">
        <v>100.0</v>
      </c>
      <c r="G105" s="6">
        <f t="shared" si="2"/>
        <v>35.06333333</v>
      </c>
      <c r="H105" s="6">
        <v>14413.5181795973</v>
      </c>
      <c r="I105" s="6">
        <v>550.137096488856</v>
      </c>
      <c r="J105" s="6">
        <v>450.87441653157</v>
      </c>
      <c r="K105" s="6">
        <v>15414.52969261773</v>
      </c>
      <c r="L105" s="6">
        <f t="shared" si="3"/>
        <v>0.002274693684</v>
      </c>
      <c r="M105" s="6">
        <f t="shared" si="4"/>
        <v>0.002274693684</v>
      </c>
      <c r="N105" s="6">
        <f t="shared" si="5"/>
        <v>0.002432670004</v>
      </c>
      <c r="O105" s="6">
        <f t="shared" si="6"/>
        <v>0.063735628</v>
      </c>
      <c r="P105" s="6">
        <f t="shared" si="7"/>
        <v>0.07776740495</v>
      </c>
      <c r="Q105" s="6">
        <f t="shared" si="8"/>
        <v>0.002432670004</v>
      </c>
      <c r="R105" s="6">
        <f t="shared" si="9"/>
        <v>0.063735628</v>
      </c>
      <c r="S105" s="6">
        <f t="shared" ref="S105:T105" si="116">G105/J105</f>
        <v>0.07776740495</v>
      </c>
      <c r="T105" s="6">
        <f t="shared" si="116"/>
        <v>0.9350605219</v>
      </c>
      <c r="U105" s="6">
        <f t="shared" si="11"/>
        <v>0.03568951551</v>
      </c>
      <c r="V105" s="6">
        <f t="shared" si="12"/>
        <v>0.02924996257</v>
      </c>
      <c r="W105" s="6">
        <f t="shared" si="13"/>
        <v>439.6196319</v>
      </c>
      <c r="X105" s="6">
        <f t="shared" si="14"/>
        <v>439.6196319</v>
      </c>
      <c r="Y105" s="6"/>
      <c r="Z105" s="6"/>
    </row>
    <row r="106" ht="15.75" customHeight="1">
      <c r="A106" s="3" t="s">
        <v>188</v>
      </c>
      <c r="B106" s="3" t="s">
        <v>163</v>
      </c>
      <c r="C106" s="3">
        <v>49.51</v>
      </c>
      <c r="D106" s="3" t="s">
        <v>26</v>
      </c>
      <c r="E106" s="3">
        <v>15.03125</v>
      </c>
      <c r="F106" s="3">
        <v>100.0</v>
      </c>
      <c r="G106" s="3">
        <f t="shared" si="2"/>
        <v>15.03125</v>
      </c>
      <c r="H106" s="3">
        <v>6366.39415492142</v>
      </c>
      <c r="I106" s="3">
        <v>241.74917236811</v>
      </c>
      <c r="J106" s="3">
        <v>199.149452218639</v>
      </c>
      <c r="K106" s="3">
        <v>6807.292779508169</v>
      </c>
      <c r="L106" s="3">
        <f t="shared" si="3"/>
        <v>0.002208109815</v>
      </c>
      <c r="M106" s="3">
        <f t="shared" si="4"/>
        <v>0.002208109815</v>
      </c>
      <c r="N106" s="3">
        <f t="shared" si="5"/>
        <v>0.002361030378</v>
      </c>
      <c r="O106" s="3">
        <f t="shared" si="6"/>
        <v>0.06217704844</v>
      </c>
      <c r="P106" s="3">
        <f t="shared" si="7"/>
        <v>0.07547723497</v>
      </c>
      <c r="Q106" s="3">
        <f t="shared" si="8"/>
        <v>0.002361030378</v>
      </c>
      <c r="R106" s="3">
        <f t="shared" si="9"/>
        <v>0.06217704844</v>
      </c>
      <c r="S106" s="3">
        <f t="shared" ref="S106:T106" si="117">G106/J106</f>
        <v>0.07547723497</v>
      </c>
      <c r="T106" s="3">
        <f t="shared" si="117"/>
        <v>0.9352314292</v>
      </c>
      <c r="U106" s="3">
        <f t="shared" si="11"/>
        <v>0.03551326206</v>
      </c>
      <c r="V106" s="3">
        <f t="shared" si="12"/>
        <v>0.02925530878</v>
      </c>
      <c r="W106" s="3">
        <f t="shared" si="13"/>
        <v>452.8760269</v>
      </c>
      <c r="X106" s="3">
        <f t="shared" si="14"/>
        <v>452.8760269</v>
      </c>
      <c r="Y106" s="3"/>
      <c r="Z106" s="3"/>
    </row>
    <row r="107" ht="15.75" customHeight="1">
      <c r="A107" s="5" t="s">
        <v>189</v>
      </c>
      <c r="B107" s="5" t="s">
        <v>170</v>
      </c>
      <c r="C107" s="5">
        <v>100.0</v>
      </c>
      <c r="D107" s="5" t="s">
        <v>96</v>
      </c>
      <c r="E107" s="5">
        <v>7.29166666666667</v>
      </c>
      <c r="F107" s="5">
        <v>37.0</v>
      </c>
      <c r="G107" s="5">
        <f t="shared" si="2"/>
        <v>2.697916667</v>
      </c>
      <c r="H107" s="5">
        <v>947.196348038685</v>
      </c>
      <c r="I107" s="5">
        <v>81.2263955986409</v>
      </c>
      <c r="J107" s="5">
        <v>193.930919677353</v>
      </c>
      <c r="K107" s="5">
        <v>1222.353663314679</v>
      </c>
      <c r="L107" s="5">
        <f t="shared" si="3"/>
        <v>0.00596526757</v>
      </c>
      <c r="M107" s="5">
        <f t="shared" si="4"/>
        <v>0.002207149001</v>
      </c>
      <c r="N107" s="5">
        <f t="shared" si="5"/>
        <v>0.007698157496</v>
      </c>
      <c r="O107" s="5">
        <f t="shared" si="6"/>
        <v>0.08976966924</v>
      </c>
      <c r="P107" s="5">
        <f t="shared" si="7"/>
        <v>0.03759929917</v>
      </c>
      <c r="Q107" s="5">
        <f t="shared" si="8"/>
        <v>0.002848318273</v>
      </c>
      <c r="R107" s="5">
        <f t="shared" si="9"/>
        <v>0.03321477762</v>
      </c>
      <c r="S107" s="5">
        <f t="shared" ref="S107:T107" si="118">G107/J107</f>
        <v>0.01391174069</v>
      </c>
      <c r="T107" s="5">
        <f t="shared" si="118"/>
        <v>0.7748954959</v>
      </c>
      <c r="U107" s="5">
        <f t="shared" si="11"/>
        <v>0.06645081373</v>
      </c>
      <c r="V107" s="5">
        <f t="shared" si="12"/>
        <v>0.1586536904</v>
      </c>
      <c r="W107" s="5">
        <f t="shared" si="13"/>
        <v>167.6370738</v>
      </c>
      <c r="X107" s="5">
        <f t="shared" si="14"/>
        <v>453.0731725</v>
      </c>
    </row>
    <row r="108" ht="15.75" customHeight="1">
      <c r="A108" s="5" t="s">
        <v>190</v>
      </c>
      <c r="B108" s="5" t="s">
        <v>64</v>
      </c>
      <c r="C108" s="5">
        <v>100.0</v>
      </c>
      <c r="D108" s="5" t="s">
        <v>88</v>
      </c>
      <c r="E108" s="5">
        <v>8.89583333333333</v>
      </c>
      <c r="F108" s="5">
        <v>45.0</v>
      </c>
      <c r="G108" s="5">
        <f t="shared" si="2"/>
        <v>4.003125</v>
      </c>
      <c r="H108" s="5">
        <v>1277.21127399482</v>
      </c>
      <c r="I108" s="5">
        <v>342.455126869744</v>
      </c>
      <c r="J108" s="5">
        <v>207.421846646418</v>
      </c>
      <c r="K108" s="5">
        <v>1827.088247510982</v>
      </c>
      <c r="L108" s="5">
        <f t="shared" si="3"/>
        <v>0.004868858056</v>
      </c>
      <c r="M108" s="5">
        <f t="shared" si="4"/>
        <v>0.002190986125</v>
      </c>
      <c r="N108" s="5">
        <f t="shared" si="5"/>
        <v>0.00696504448</v>
      </c>
      <c r="O108" s="5">
        <f t="shared" si="6"/>
        <v>0.02597663938</v>
      </c>
      <c r="P108" s="5">
        <f t="shared" si="7"/>
        <v>0.04288763926</v>
      </c>
      <c r="Q108" s="5">
        <f t="shared" si="8"/>
        <v>0.003134270016</v>
      </c>
      <c r="R108" s="5">
        <f t="shared" si="9"/>
        <v>0.01168948772</v>
      </c>
      <c r="S108" s="5">
        <f t="shared" ref="S108:T108" si="119">G108/J108</f>
        <v>0.01929943767</v>
      </c>
      <c r="T108" s="5">
        <f t="shared" si="119"/>
        <v>0.6990419186</v>
      </c>
      <c r="U108" s="5">
        <f t="shared" si="11"/>
        <v>0.1874321765</v>
      </c>
      <c r="V108" s="5">
        <f t="shared" si="12"/>
        <v>0.1135259049</v>
      </c>
      <c r="W108" s="5">
        <f t="shared" si="13"/>
        <v>205.3869693</v>
      </c>
      <c r="X108" s="5">
        <f t="shared" si="14"/>
        <v>456.4154873</v>
      </c>
    </row>
    <row r="109" ht="15.75" customHeight="1">
      <c r="A109" s="5" t="s">
        <v>191</v>
      </c>
      <c r="B109" s="5" t="s">
        <v>170</v>
      </c>
      <c r="C109" s="5">
        <v>100.0</v>
      </c>
      <c r="D109" s="5" t="s">
        <v>96</v>
      </c>
      <c r="E109" s="5">
        <v>7.21376811594203</v>
      </c>
      <c r="F109" s="5">
        <v>37.0</v>
      </c>
      <c r="G109" s="5">
        <f t="shared" si="2"/>
        <v>2.669094203</v>
      </c>
      <c r="H109" s="5">
        <v>947.196348038685</v>
      </c>
      <c r="I109" s="5">
        <v>81.2263955986409</v>
      </c>
      <c r="J109" s="5">
        <v>193.930919677353</v>
      </c>
      <c r="K109" s="5">
        <v>1222.353663314679</v>
      </c>
      <c r="L109" s="5">
        <f t="shared" si="3"/>
        <v>0.005901539246</v>
      </c>
      <c r="M109" s="5">
        <f t="shared" si="4"/>
        <v>0.002183569521</v>
      </c>
      <c r="N109" s="5">
        <f t="shared" si="5"/>
        <v>0.00761591631</v>
      </c>
      <c r="O109" s="5">
        <f t="shared" si="6"/>
        <v>0.08881063924</v>
      </c>
      <c r="P109" s="5">
        <f t="shared" si="7"/>
        <v>0.03719761721</v>
      </c>
      <c r="Q109" s="5">
        <f t="shared" si="8"/>
        <v>0.002817889035</v>
      </c>
      <c r="R109" s="5">
        <f t="shared" si="9"/>
        <v>0.03285993652</v>
      </c>
      <c r="S109" s="5">
        <f t="shared" ref="S109:T109" si="120">G109/J109</f>
        <v>0.01376311837</v>
      </c>
      <c r="T109" s="5">
        <f t="shared" si="120"/>
        <v>0.7748954959</v>
      </c>
      <c r="U109" s="5">
        <f t="shared" si="11"/>
        <v>0.06645081373</v>
      </c>
      <c r="V109" s="5">
        <f t="shared" si="12"/>
        <v>0.1586536904</v>
      </c>
      <c r="W109" s="5">
        <f t="shared" si="13"/>
        <v>169.4473185</v>
      </c>
      <c r="X109" s="5">
        <f t="shared" si="14"/>
        <v>457.9657256</v>
      </c>
    </row>
    <row r="110" ht="15.75" customHeight="1">
      <c r="A110" s="5" t="s">
        <v>192</v>
      </c>
      <c r="B110" s="5" t="s">
        <v>170</v>
      </c>
      <c r="C110" s="5">
        <v>100.0</v>
      </c>
      <c r="D110" s="5" t="s">
        <v>96</v>
      </c>
      <c r="E110" s="5">
        <v>7.1875</v>
      </c>
      <c r="F110" s="5">
        <v>37.0</v>
      </c>
      <c r="G110" s="5">
        <f t="shared" si="2"/>
        <v>2.659375</v>
      </c>
      <c r="H110" s="5">
        <v>947.196348038685</v>
      </c>
      <c r="I110" s="5">
        <v>81.2263955986409</v>
      </c>
      <c r="J110" s="5">
        <v>193.930919677353</v>
      </c>
      <c r="K110" s="5">
        <v>1222.353663314679</v>
      </c>
      <c r="L110" s="5">
        <f t="shared" si="3"/>
        <v>0.005880049462</v>
      </c>
      <c r="M110" s="5">
        <f t="shared" si="4"/>
        <v>0.002175618301</v>
      </c>
      <c r="N110" s="5">
        <f t="shared" si="5"/>
        <v>0.007588183817</v>
      </c>
      <c r="O110" s="5">
        <f t="shared" si="6"/>
        <v>0.0884872454</v>
      </c>
      <c r="P110" s="5">
        <f t="shared" si="7"/>
        <v>0.03706216632</v>
      </c>
      <c r="Q110" s="5">
        <f t="shared" si="8"/>
        <v>0.002807628012</v>
      </c>
      <c r="R110" s="5">
        <f t="shared" si="9"/>
        <v>0.0327402808</v>
      </c>
      <c r="S110" s="5">
        <f t="shared" ref="S110:T110" si="121">G110/J110</f>
        <v>0.01371300154</v>
      </c>
      <c r="T110" s="5">
        <f t="shared" si="121"/>
        <v>0.7748954959</v>
      </c>
      <c r="U110" s="5">
        <f t="shared" si="11"/>
        <v>0.06645081373</v>
      </c>
      <c r="V110" s="5">
        <f t="shared" si="12"/>
        <v>0.1586536904</v>
      </c>
      <c r="W110" s="5">
        <f t="shared" si="13"/>
        <v>170.0665966</v>
      </c>
      <c r="X110" s="5">
        <f t="shared" si="14"/>
        <v>459.6394504</v>
      </c>
    </row>
    <row r="111" ht="15.75" customHeight="1">
      <c r="A111" s="5" t="s">
        <v>193</v>
      </c>
      <c r="B111" s="5" t="s">
        <v>170</v>
      </c>
      <c r="C111" s="5">
        <v>100.0</v>
      </c>
      <c r="D111" s="5" t="s">
        <v>96</v>
      </c>
      <c r="E111" s="5">
        <v>7.15579710144928</v>
      </c>
      <c r="F111" s="5">
        <v>37.0</v>
      </c>
      <c r="G111" s="5">
        <f t="shared" si="2"/>
        <v>2.647644928</v>
      </c>
      <c r="H111" s="5">
        <v>947.196348038685</v>
      </c>
      <c r="I111" s="5">
        <v>81.2263955986409</v>
      </c>
      <c r="J111" s="5">
        <v>193.930919677353</v>
      </c>
      <c r="K111" s="5">
        <v>1222.353663314679</v>
      </c>
      <c r="L111" s="5">
        <f t="shared" si="3"/>
        <v>0.005854113516</v>
      </c>
      <c r="M111" s="5">
        <f t="shared" si="4"/>
        <v>0.002166022001</v>
      </c>
      <c r="N111" s="5">
        <f t="shared" si="5"/>
        <v>0.007554713567</v>
      </c>
      <c r="O111" s="5">
        <f t="shared" si="6"/>
        <v>0.08809694249</v>
      </c>
      <c r="P111" s="5">
        <f t="shared" si="7"/>
        <v>0.03689869111</v>
      </c>
      <c r="Q111" s="5">
        <f t="shared" si="8"/>
        <v>0.00279524402</v>
      </c>
      <c r="R111" s="5">
        <f t="shared" si="9"/>
        <v>0.03259586872</v>
      </c>
      <c r="S111" s="5">
        <f t="shared" ref="S111:T111" si="122">G111/J111</f>
        <v>0.01365251571</v>
      </c>
      <c r="T111" s="5">
        <f t="shared" si="122"/>
        <v>0.7748954959</v>
      </c>
      <c r="U111" s="5">
        <f t="shared" si="11"/>
        <v>0.06645081373</v>
      </c>
      <c r="V111" s="5">
        <f t="shared" si="12"/>
        <v>0.1586536904</v>
      </c>
      <c r="W111" s="5">
        <f t="shared" si="13"/>
        <v>170.8200562</v>
      </c>
      <c r="X111" s="5">
        <f t="shared" si="14"/>
        <v>461.6758277</v>
      </c>
    </row>
    <row r="112" ht="15.75" customHeight="1">
      <c r="A112" s="6" t="s">
        <v>194</v>
      </c>
      <c r="B112" s="6" t="s">
        <v>180</v>
      </c>
      <c r="C112" s="6">
        <v>100.0</v>
      </c>
      <c r="D112" s="6" t="s">
        <v>26</v>
      </c>
      <c r="E112" s="6">
        <v>32.8633333333333</v>
      </c>
      <c r="F112" s="6">
        <v>100.0</v>
      </c>
      <c r="G112" s="6">
        <f t="shared" si="2"/>
        <v>32.86333333</v>
      </c>
      <c r="H112" s="6">
        <v>14413.5181795973</v>
      </c>
      <c r="I112" s="6">
        <v>550.137096488856</v>
      </c>
      <c r="J112" s="6">
        <v>450.87441653157</v>
      </c>
      <c r="K112" s="6">
        <v>15414.52969261773</v>
      </c>
      <c r="L112" s="6">
        <f t="shared" si="3"/>
        <v>0.002131971198</v>
      </c>
      <c r="M112" s="6">
        <f t="shared" si="4"/>
        <v>0.002131971198</v>
      </c>
      <c r="N112" s="6">
        <f t="shared" si="5"/>
        <v>0.002280035514</v>
      </c>
      <c r="O112" s="6">
        <f t="shared" si="6"/>
        <v>0.05973662482</v>
      </c>
      <c r="P112" s="6">
        <f t="shared" si="7"/>
        <v>0.07288799747</v>
      </c>
      <c r="Q112" s="6">
        <f t="shared" si="8"/>
        <v>0.002280035514</v>
      </c>
      <c r="R112" s="6">
        <f t="shared" si="9"/>
        <v>0.05973662482</v>
      </c>
      <c r="S112" s="6">
        <f t="shared" ref="S112:T112" si="123">G112/J112</f>
        <v>0.07288799747</v>
      </c>
      <c r="T112" s="6">
        <f t="shared" si="123"/>
        <v>0.9350605219</v>
      </c>
      <c r="U112" s="6">
        <f t="shared" si="11"/>
        <v>0.03568951551</v>
      </c>
      <c r="V112" s="6">
        <f t="shared" si="12"/>
        <v>0.02924996257</v>
      </c>
      <c r="W112" s="6">
        <f t="shared" si="13"/>
        <v>469.0494886</v>
      </c>
      <c r="X112" s="6">
        <f t="shared" si="14"/>
        <v>469.0494886</v>
      </c>
      <c r="Y112" s="6"/>
      <c r="Z112" s="6"/>
    </row>
    <row r="113" ht="15.75" customHeight="1">
      <c r="A113" s="6" t="s">
        <v>195</v>
      </c>
      <c r="B113" s="6" t="s">
        <v>180</v>
      </c>
      <c r="C113" s="6">
        <v>100.0</v>
      </c>
      <c r="D113" s="6" t="s">
        <v>26</v>
      </c>
      <c r="E113" s="6">
        <v>32.8</v>
      </c>
      <c r="F113" s="6">
        <v>100.0</v>
      </c>
      <c r="G113" s="6">
        <f t="shared" si="2"/>
        <v>32.8</v>
      </c>
      <c r="H113" s="6">
        <v>14413.5181795973</v>
      </c>
      <c r="I113" s="6">
        <v>550.137096488856</v>
      </c>
      <c r="J113" s="6">
        <v>450.87441653157</v>
      </c>
      <c r="K113" s="6">
        <v>15414.52969261773</v>
      </c>
      <c r="L113" s="6">
        <f t="shared" si="3"/>
        <v>0.00212786252</v>
      </c>
      <c r="M113" s="6">
        <f t="shared" si="4"/>
        <v>0.00212786252</v>
      </c>
      <c r="N113" s="6">
        <f t="shared" si="5"/>
        <v>0.002275641491</v>
      </c>
      <c r="O113" s="6">
        <f t="shared" si="6"/>
        <v>0.059621502</v>
      </c>
      <c r="P113" s="6">
        <f t="shared" si="7"/>
        <v>0.07274752968</v>
      </c>
      <c r="Q113" s="6">
        <f t="shared" si="8"/>
        <v>0.002275641491</v>
      </c>
      <c r="R113" s="6">
        <f t="shared" si="9"/>
        <v>0.059621502</v>
      </c>
      <c r="S113" s="6">
        <f t="shared" ref="S113:T113" si="124">G113/J113</f>
        <v>0.07274752968</v>
      </c>
      <c r="T113" s="6">
        <f t="shared" si="124"/>
        <v>0.9350605219</v>
      </c>
      <c r="U113" s="6">
        <f t="shared" si="11"/>
        <v>0.03568951551</v>
      </c>
      <c r="V113" s="6">
        <f t="shared" si="12"/>
        <v>0.02924996257</v>
      </c>
      <c r="W113" s="6">
        <f t="shared" si="13"/>
        <v>469.9551736</v>
      </c>
      <c r="X113" s="6">
        <f t="shared" si="14"/>
        <v>469.9551736</v>
      </c>
      <c r="Y113" s="6"/>
      <c r="Z113" s="6"/>
    </row>
    <row r="114" ht="15.75" customHeight="1">
      <c r="A114" s="6" t="s">
        <v>196</v>
      </c>
      <c r="B114" s="6" t="s">
        <v>180</v>
      </c>
      <c r="C114" s="6">
        <v>100.0</v>
      </c>
      <c r="D114" s="6" t="s">
        <v>26</v>
      </c>
      <c r="E114" s="6">
        <v>32.3966666666667</v>
      </c>
      <c r="F114" s="6">
        <v>100.0</v>
      </c>
      <c r="G114" s="6">
        <f t="shared" si="2"/>
        <v>32.39666667</v>
      </c>
      <c r="H114" s="6">
        <v>14413.5181795973</v>
      </c>
      <c r="I114" s="6">
        <v>550.137096488856</v>
      </c>
      <c r="J114" s="6">
        <v>450.87441653157</v>
      </c>
      <c r="K114" s="6">
        <v>15414.52969261773</v>
      </c>
      <c r="L114" s="6">
        <f t="shared" si="3"/>
        <v>0.002101696731</v>
      </c>
      <c r="M114" s="6">
        <f t="shared" si="4"/>
        <v>0.002101696731</v>
      </c>
      <c r="N114" s="6">
        <f t="shared" si="5"/>
        <v>0.002247658501</v>
      </c>
      <c r="O114" s="6">
        <f t="shared" si="6"/>
        <v>0.05888835142</v>
      </c>
      <c r="P114" s="6">
        <f t="shared" si="7"/>
        <v>0.07185297165</v>
      </c>
      <c r="Q114" s="6">
        <f t="shared" si="8"/>
        <v>0.002247658501</v>
      </c>
      <c r="R114" s="6">
        <f t="shared" si="9"/>
        <v>0.05888835142</v>
      </c>
      <c r="S114" s="6">
        <f t="shared" ref="S114:T114" si="125">G114/J114</f>
        <v>0.07185297165</v>
      </c>
      <c r="T114" s="6">
        <f t="shared" si="125"/>
        <v>0.9350605219</v>
      </c>
      <c r="U114" s="6">
        <f t="shared" si="11"/>
        <v>0.03568951551</v>
      </c>
      <c r="V114" s="6">
        <f t="shared" si="12"/>
        <v>0.02924996257</v>
      </c>
      <c r="W114" s="6">
        <f t="shared" si="13"/>
        <v>475.8060405</v>
      </c>
      <c r="X114" s="6">
        <f t="shared" si="14"/>
        <v>475.8060405</v>
      </c>
      <c r="Y114" s="6"/>
      <c r="Z114" s="6"/>
    </row>
    <row r="115" ht="15.75" customHeight="1">
      <c r="A115" s="6" t="s">
        <v>197</v>
      </c>
      <c r="B115" s="6" t="s">
        <v>180</v>
      </c>
      <c r="C115" s="6">
        <v>100.0</v>
      </c>
      <c r="D115" s="6" t="s">
        <v>26</v>
      </c>
      <c r="E115" s="6">
        <v>32.3833333333333</v>
      </c>
      <c r="F115" s="6">
        <v>100.0</v>
      </c>
      <c r="G115" s="6">
        <f t="shared" si="2"/>
        <v>32.38333333</v>
      </c>
      <c r="H115" s="6">
        <v>14413.5181795973</v>
      </c>
      <c r="I115" s="6">
        <v>550.137096488856</v>
      </c>
      <c r="J115" s="6">
        <v>450.87441653157</v>
      </c>
      <c r="K115" s="6">
        <v>15414.52969261773</v>
      </c>
      <c r="L115" s="6">
        <f t="shared" si="3"/>
        <v>0.002100831746</v>
      </c>
      <c r="M115" s="6">
        <f t="shared" si="4"/>
        <v>0.002100831746</v>
      </c>
      <c r="N115" s="6">
        <f t="shared" si="5"/>
        <v>0.002246733444</v>
      </c>
      <c r="O115" s="6">
        <f t="shared" si="6"/>
        <v>0.05886411504</v>
      </c>
      <c r="P115" s="6">
        <f t="shared" si="7"/>
        <v>0.07182339948</v>
      </c>
      <c r="Q115" s="6">
        <f t="shared" si="8"/>
        <v>0.002246733444</v>
      </c>
      <c r="R115" s="6">
        <f t="shared" si="9"/>
        <v>0.05886411504</v>
      </c>
      <c r="S115" s="6">
        <f t="shared" ref="S115:T115" si="126">G115/J115</f>
        <v>0.07182339948</v>
      </c>
      <c r="T115" s="6">
        <f t="shared" si="126"/>
        <v>0.9350605219</v>
      </c>
      <c r="U115" s="6">
        <f t="shared" si="11"/>
        <v>0.03568951551</v>
      </c>
      <c r="V115" s="6">
        <f t="shared" si="12"/>
        <v>0.02924996257</v>
      </c>
      <c r="W115" s="6">
        <f t="shared" si="13"/>
        <v>476.0019462</v>
      </c>
      <c r="X115" s="6">
        <f t="shared" si="14"/>
        <v>476.0019462</v>
      </c>
      <c r="Y115" s="6"/>
      <c r="Z115" s="6"/>
    </row>
    <row r="116" ht="15.75" customHeight="1">
      <c r="A116" s="5" t="s">
        <v>198</v>
      </c>
      <c r="B116" s="5" t="s">
        <v>170</v>
      </c>
      <c r="C116" s="5">
        <v>100.0</v>
      </c>
      <c r="D116" s="5" t="s">
        <v>96</v>
      </c>
      <c r="E116" s="5">
        <v>6.875</v>
      </c>
      <c r="F116" s="5">
        <v>37.0</v>
      </c>
      <c r="G116" s="5">
        <f t="shared" si="2"/>
        <v>2.54375</v>
      </c>
      <c r="H116" s="5">
        <v>947.196348038685</v>
      </c>
      <c r="I116" s="5">
        <v>81.2263955986409</v>
      </c>
      <c r="J116" s="5">
        <v>193.930919677353</v>
      </c>
      <c r="K116" s="5">
        <v>1222.353663314679</v>
      </c>
      <c r="L116" s="5">
        <f t="shared" si="3"/>
        <v>0.005624395137</v>
      </c>
      <c r="M116" s="5">
        <f t="shared" si="4"/>
        <v>0.002081026201</v>
      </c>
      <c r="N116" s="5">
        <f t="shared" si="5"/>
        <v>0.007258262782</v>
      </c>
      <c r="O116" s="5">
        <f t="shared" si="6"/>
        <v>0.08463997386</v>
      </c>
      <c r="P116" s="5">
        <f t="shared" si="7"/>
        <v>0.03545076779</v>
      </c>
      <c r="Q116" s="5">
        <f t="shared" si="8"/>
        <v>0.002685557229</v>
      </c>
      <c r="R116" s="5">
        <f t="shared" si="9"/>
        <v>0.03131679033</v>
      </c>
      <c r="S116" s="5">
        <f t="shared" ref="S116:T116" si="127">G116/J116</f>
        <v>0.01311678408</v>
      </c>
      <c r="T116" s="5">
        <f t="shared" si="127"/>
        <v>0.7748954959</v>
      </c>
      <c r="U116" s="5">
        <f t="shared" si="11"/>
        <v>0.06645081373</v>
      </c>
      <c r="V116" s="5">
        <f t="shared" si="12"/>
        <v>0.1586536904</v>
      </c>
      <c r="W116" s="5">
        <f t="shared" si="13"/>
        <v>177.7968965</v>
      </c>
      <c r="X116" s="5">
        <f t="shared" si="14"/>
        <v>480.5321527</v>
      </c>
    </row>
    <row r="117" ht="15.75" customHeight="1">
      <c r="A117" s="3" t="s">
        <v>199</v>
      </c>
      <c r="B117" s="3" t="s">
        <v>157</v>
      </c>
      <c r="C117" s="3">
        <v>55.91</v>
      </c>
      <c r="D117" s="3" t="s">
        <v>26</v>
      </c>
      <c r="E117" s="3">
        <v>11.4791666666667</v>
      </c>
      <c r="F117" s="3">
        <v>100.0</v>
      </c>
      <c r="G117" s="3">
        <f t="shared" si="2"/>
        <v>11.47916667</v>
      </c>
      <c r="H117" s="3">
        <v>5184.5641750671</v>
      </c>
      <c r="I117" s="3">
        <v>330.180757734068</v>
      </c>
      <c r="J117" s="3">
        <v>5.7778303020061</v>
      </c>
      <c r="K117" s="3">
        <v>5520.522763103174</v>
      </c>
      <c r="L117" s="3">
        <f t="shared" si="3"/>
        <v>0.002079362256</v>
      </c>
      <c r="M117" s="3">
        <f t="shared" si="4"/>
        <v>0.002079362256</v>
      </c>
      <c r="N117" s="3">
        <f t="shared" si="5"/>
        <v>0.002214104461</v>
      </c>
      <c r="O117" s="3">
        <f t="shared" si="6"/>
        <v>0.03476631026</v>
      </c>
      <c r="P117" s="3">
        <f t="shared" si="7"/>
        <v>1.986760785</v>
      </c>
      <c r="Q117" s="3">
        <f t="shared" si="8"/>
        <v>0.002214104461</v>
      </c>
      <c r="R117" s="3">
        <f t="shared" si="9"/>
        <v>0.03476631026</v>
      </c>
      <c r="S117" s="3">
        <f t="shared" ref="S117:T117" si="128">G117/J117</f>
        <v>1.986760785</v>
      </c>
      <c r="T117" s="3">
        <f t="shared" si="128"/>
        <v>0.9391437003</v>
      </c>
      <c r="U117" s="3">
        <f t="shared" si="11"/>
        <v>0.05980969048</v>
      </c>
      <c r="V117" s="3">
        <f t="shared" si="12"/>
        <v>0.001046609271</v>
      </c>
      <c r="W117" s="3">
        <f t="shared" si="13"/>
        <v>480.9166835</v>
      </c>
      <c r="X117" s="3">
        <f t="shared" si="14"/>
        <v>480.9166835</v>
      </c>
      <c r="Y117" s="3"/>
      <c r="Z117" s="3"/>
    </row>
    <row r="118" ht="15.75" customHeight="1">
      <c r="A118" s="6" t="s">
        <v>200</v>
      </c>
      <c r="B118" s="6" t="s">
        <v>180</v>
      </c>
      <c r="C118" s="6">
        <v>100.0</v>
      </c>
      <c r="D118" s="6" t="s">
        <v>26</v>
      </c>
      <c r="E118" s="6">
        <v>31.93</v>
      </c>
      <c r="F118" s="6">
        <v>100.0</v>
      </c>
      <c r="G118" s="6">
        <f t="shared" si="2"/>
        <v>31.93</v>
      </c>
      <c r="H118" s="6">
        <v>14413.5181795973</v>
      </c>
      <c r="I118" s="6">
        <v>550.137096488856</v>
      </c>
      <c r="J118" s="6">
        <v>450.87441653157</v>
      </c>
      <c r="K118" s="6">
        <v>15414.52969261773</v>
      </c>
      <c r="L118" s="6">
        <f t="shared" si="3"/>
        <v>0.002071422264</v>
      </c>
      <c r="M118" s="6">
        <f t="shared" si="4"/>
        <v>0.002071422264</v>
      </c>
      <c r="N118" s="6">
        <f t="shared" si="5"/>
        <v>0.002215281488</v>
      </c>
      <c r="O118" s="6">
        <f t="shared" si="6"/>
        <v>0.05804007802</v>
      </c>
      <c r="P118" s="6">
        <f t="shared" si="7"/>
        <v>0.07081794582</v>
      </c>
      <c r="Q118" s="6">
        <f t="shared" si="8"/>
        <v>0.002215281488</v>
      </c>
      <c r="R118" s="6">
        <f t="shared" si="9"/>
        <v>0.05804007802</v>
      </c>
      <c r="S118" s="6">
        <f t="shared" ref="S118:T118" si="129">G118/J118</f>
        <v>0.07081794582</v>
      </c>
      <c r="T118" s="6">
        <f t="shared" si="129"/>
        <v>0.9350605219</v>
      </c>
      <c r="U118" s="6">
        <f t="shared" si="11"/>
        <v>0.03568951551</v>
      </c>
      <c r="V118" s="6">
        <f t="shared" si="12"/>
        <v>0.02924996257</v>
      </c>
      <c r="W118" s="6">
        <f t="shared" si="13"/>
        <v>482.7600906</v>
      </c>
      <c r="X118" s="6">
        <f t="shared" si="14"/>
        <v>482.7600906</v>
      </c>
      <c r="Y118" s="6"/>
      <c r="Z118" s="6"/>
    </row>
    <row r="119" ht="15.75" customHeight="1">
      <c r="A119" s="6" t="s">
        <v>201</v>
      </c>
      <c r="B119" s="6" t="s">
        <v>180</v>
      </c>
      <c r="C119" s="6">
        <v>100.0</v>
      </c>
      <c r="D119" s="6" t="s">
        <v>26</v>
      </c>
      <c r="E119" s="6">
        <v>31.9066666666667</v>
      </c>
      <c r="F119" s="6">
        <v>100.0</v>
      </c>
      <c r="G119" s="6">
        <f t="shared" si="2"/>
        <v>31.90666667</v>
      </c>
      <c r="H119" s="6">
        <v>14413.5181795973</v>
      </c>
      <c r="I119" s="6">
        <v>550.137096488856</v>
      </c>
      <c r="J119" s="6">
        <v>450.87441653157</v>
      </c>
      <c r="K119" s="6">
        <v>15414.52969261773</v>
      </c>
      <c r="L119" s="6">
        <f t="shared" si="3"/>
        <v>0.002069908541</v>
      </c>
      <c r="M119" s="6">
        <f t="shared" si="4"/>
        <v>0.002069908541</v>
      </c>
      <c r="N119" s="6">
        <f t="shared" si="5"/>
        <v>0.002213662637</v>
      </c>
      <c r="O119" s="6">
        <f t="shared" si="6"/>
        <v>0.05799766435</v>
      </c>
      <c r="P119" s="6">
        <f t="shared" si="7"/>
        <v>0.07076619453</v>
      </c>
      <c r="Q119" s="6">
        <f t="shared" si="8"/>
        <v>0.002213662637</v>
      </c>
      <c r="R119" s="6">
        <f t="shared" si="9"/>
        <v>0.05799766435</v>
      </c>
      <c r="S119" s="6">
        <f t="shared" ref="S119:T119" si="130">G119/J119</f>
        <v>0.07076619453</v>
      </c>
      <c r="T119" s="6">
        <f t="shared" si="130"/>
        <v>0.9350605219</v>
      </c>
      <c r="U119" s="6">
        <f t="shared" si="11"/>
        <v>0.03568951551</v>
      </c>
      <c r="V119" s="6">
        <f t="shared" si="12"/>
        <v>0.02924996257</v>
      </c>
      <c r="W119" s="6">
        <f t="shared" si="13"/>
        <v>483.1131329</v>
      </c>
      <c r="X119" s="6">
        <f t="shared" si="14"/>
        <v>483.1131329</v>
      </c>
      <c r="Y119" s="6"/>
      <c r="Z119" s="6"/>
    </row>
    <row r="120" ht="15.75" customHeight="1">
      <c r="A120" s="5" t="s">
        <v>202</v>
      </c>
      <c r="B120" s="5" t="s">
        <v>64</v>
      </c>
      <c r="C120" s="5">
        <v>100.0</v>
      </c>
      <c r="D120" s="5" t="s">
        <v>71</v>
      </c>
      <c r="E120" s="5">
        <v>8.398</v>
      </c>
      <c r="F120" s="5">
        <v>45.0</v>
      </c>
      <c r="G120" s="5">
        <f t="shared" si="2"/>
        <v>3.7791</v>
      </c>
      <c r="H120" s="5">
        <v>1277.21127399482</v>
      </c>
      <c r="I120" s="5">
        <v>342.455126869744</v>
      </c>
      <c r="J120" s="5">
        <v>207.421846646418</v>
      </c>
      <c r="K120" s="5">
        <v>1827.088247510982</v>
      </c>
      <c r="L120" s="5">
        <f t="shared" si="3"/>
        <v>0.004596384445</v>
      </c>
      <c r="M120" s="5">
        <f t="shared" si="4"/>
        <v>0.002068373</v>
      </c>
      <c r="N120" s="5">
        <f t="shared" si="5"/>
        <v>0.006575262974</v>
      </c>
      <c r="O120" s="5">
        <f t="shared" si="6"/>
        <v>0.02452292093</v>
      </c>
      <c r="P120" s="5">
        <f t="shared" si="7"/>
        <v>0.04048753849</v>
      </c>
      <c r="Q120" s="5">
        <f t="shared" si="8"/>
        <v>0.002958868338</v>
      </c>
      <c r="R120" s="5">
        <f t="shared" si="9"/>
        <v>0.01103531442</v>
      </c>
      <c r="S120" s="5">
        <f t="shared" ref="S120:T120" si="131">G120/J120</f>
        <v>0.01821939232</v>
      </c>
      <c r="T120" s="5">
        <f t="shared" si="131"/>
        <v>0.6990419186</v>
      </c>
      <c r="U120" s="5">
        <f t="shared" si="11"/>
        <v>0.1874321765</v>
      </c>
      <c r="V120" s="5">
        <f t="shared" si="12"/>
        <v>0.1135259049</v>
      </c>
      <c r="W120" s="5">
        <f t="shared" si="13"/>
        <v>217.5623062</v>
      </c>
      <c r="X120" s="5">
        <f t="shared" si="14"/>
        <v>483.4717916</v>
      </c>
    </row>
    <row r="121" ht="15.75" customHeight="1">
      <c r="A121" s="6" t="s">
        <v>203</v>
      </c>
      <c r="B121" s="6" t="s">
        <v>180</v>
      </c>
      <c r="C121" s="6">
        <v>100.0</v>
      </c>
      <c r="D121" s="6" t="s">
        <v>26</v>
      </c>
      <c r="E121" s="6">
        <v>31.88</v>
      </c>
      <c r="F121" s="6">
        <v>100.0</v>
      </c>
      <c r="G121" s="6">
        <f t="shared" si="2"/>
        <v>31.88</v>
      </c>
      <c r="H121" s="6">
        <v>14413.5181795973</v>
      </c>
      <c r="I121" s="6">
        <v>550.137096488856</v>
      </c>
      <c r="J121" s="6">
        <v>450.87441653157</v>
      </c>
      <c r="K121" s="6">
        <v>15414.52969261773</v>
      </c>
      <c r="L121" s="6">
        <f t="shared" si="3"/>
        <v>0.002068178571</v>
      </c>
      <c r="M121" s="6">
        <f t="shared" si="4"/>
        <v>0.002068178571</v>
      </c>
      <c r="N121" s="6">
        <f t="shared" si="5"/>
        <v>0.002211812522</v>
      </c>
      <c r="O121" s="6">
        <f t="shared" si="6"/>
        <v>0.05794919158</v>
      </c>
      <c r="P121" s="6">
        <f t="shared" si="7"/>
        <v>0.07070705019</v>
      </c>
      <c r="Q121" s="6">
        <f t="shared" si="8"/>
        <v>0.002211812522</v>
      </c>
      <c r="R121" s="6">
        <f t="shared" si="9"/>
        <v>0.05794919158</v>
      </c>
      <c r="S121" s="6">
        <f t="shared" ref="S121:T121" si="132">G121/J121</f>
        <v>0.07070705019</v>
      </c>
      <c r="T121" s="6">
        <f t="shared" si="132"/>
        <v>0.9350605219</v>
      </c>
      <c r="U121" s="6">
        <f t="shared" si="11"/>
        <v>0.03568951551</v>
      </c>
      <c r="V121" s="6">
        <f t="shared" si="12"/>
        <v>0.02924996257</v>
      </c>
      <c r="W121" s="6">
        <f t="shared" si="13"/>
        <v>483.5172426</v>
      </c>
      <c r="X121" s="6">
        <f t="shared" si="14"/>
        <v>483.5172426</v>
      </c>
      <c r="Y121" s="6"/>
      <c r="Z121" s="6"/>
    </row>
    <row r="122" ht="15.75" customHeight="1">
      <c r="A122" s="6" t="s">
        <v>204</v>
      </c>
      <c r="B122" s="6" t="s">
        <v>180</v>
      </c>
      <c r="C122" s="6">
        <v>100.0</v>
      </c>
      <c r="D122" s="6" t="s">
        <v>26</v>
      </c>
      <c r="E122" s="6">
        <v>31.2333333333333</v>
      </c>
      <c r="F122" s="6">
        <v>100.0</v>
      </c>
      <c r="G122" s="6">
        <f t="shared" si="2"/>
        <v>31.23333333</v>
      </c>
      <c r="H122" s="6">
        <v>14413.5181795973</v>
      </c>
      <c r="I122" s="6">
        <v>550.137096488856</v>
      </c>
      <c r="J122" s="6">
        <v>450.87441653157</v>
      </c>
      <c r="K122" s="6">
        <v>15414.52969261773</v>
      </c>
      <c r="L122" s="6">
        <f t="shared" si="3"/>
        <v>0.00202622681</v>
      </c>
      <c r="M122" s="6">
        <f t="shared" si="4"/>
        <v>0.00202622681</v>
      </c>
      <c r="N122" s="6">
        <f t="shared" si="5"/>
        <v>0.002166947233</v>
      </c>
      <c r="O122" s="6">
        <f t="shared" si="6"/>
        <v>0.05677372701</v>
      </c>
      <c r="P122" s="6">
        <f t="shared" si="7"/>
        <v>0.06927280011</v>
      </c>
      <c r="Q122" s="6">
        <f t="shared" si="8"/>
        <v>0.002166947233</v>
      </c>
      <c r="R122" s="6">
        <f t="shared" si="9"/>
        <v>0.05677372701</v>
      </c>
      <c r="S122" s="6">
        <f t="shared" ref="S122:T122" si="133">G122/J122</f>
        <v>0.06927280011</v>
      </c>
      <c r="T122" s="6">
        <f t="shared" si="133"/>
        <v>0.9350605219</v>
      </c>
      <c r="U122" s="6">
        <f t="shared" si="11"/>
        <v>0.03568951551</v>
      </c>
      <c r="V122" s="6">
        <f t="shared" si="12"/>
        <v>0.02924996257</v>
      </c>
      <c r="W122" s="6">
        <f t="shared" si="13"/>
        <v>493.5281652</v>
      </c>
      <c r="X122" s="6">
        <f t="shared" si="14"/>
        <v>493.5281652</v>
      </c>
      <c r="Y122" s="6"/>
      <c r="Z122" s="6"/>
    </row>
    <row r="123" ht="15.75" customHeight="1">
      <c r="A123" s="5" t="s">
        <v>205</v>
      </c>
      <c r="B123" s="5" t="s">
        <v>170</v>
      </c>
      <c r="C123" s="5">
        <v>100.0</v>
      </c>
      <c r="D123" s="5" t="s">
        <v>96</v>
      </c>
      <c r="E123" s="5">
        <v>6.58958333333333</v>
      </c>
      <c r="F123" s="5">
        <v>37.0</v>
      </c>
      <c r="G123" s="5">
        <f t="shared" si="2"/>
        <v>2.438145833</v>
      </c>
      <c r="H123" s="5">
        <v>947.196348038685</v>
      </c>
      <c r="I123" s="5">
        <v>81.2263955986409</v>
      </c>
      <c r="J123" s="5">
        <v>193.930919677353</v>
      </c>
      <c r="K123" s="5">
        <v>1222.353663314679</v>
      </c>
      <c r="L123" s="5">
        <f t="shared" si="3"/>
        <v>0.005390897521</v>
      </c>
      <c r="M123" s="5">
        <f t="shared" si="4"/>
        <v>0.001994632083</v>
      </c>
      <c r="N123" s="5">
        <f t="shared" si="5"/>
        <v>0.006956934903</v>
      </c>
      <c r="O123" s="5">
        <f t="shared" si="6"/>
        <v>0.08112613252</v>
      </c>
      <c r="P123" s="5">
        <f t="shared" si="7"/>
        <v>0.03397902379</v>
      </c>
      <c r="Q123" s="5">
        <f t="shared" si="8"/>
        <v>0.002574065914</v>
      </c>
      <c r="R123" s="5">
        <f t="shared" si="9"/>
        <v>0.03001666903</v>
      </c>
      <c r="S123" s="5">
        <f t="shared" ref="S123:T123" si="134">G123/J123</f>
        <v>0.0125722388</v>
      </c>
      <c r="T123" s="5">
        <f t="shared" si="134"/>
        <v>0.7748954959</v>
      </c>
      <c r="U123" s="5">
        <f t="shared" si="11"/>
        <v>0.06645081373</v>
      </c>
      <c r="V123" s="5">
        <f t="shared" si="12"/>
        <v>0.1586536904</v>
      </c>
      <c r="W123" s="5">
        <f t="shared" si="13"/>
        <v>185.4978686</v>
      </c>
      <c r="X123" s="5">
        <f t="shared" si="14"/>
        <v>501.3455908</v>
      </c>
    </row>
    <row r="124" ht="15.75" customHeight="1">
      <c r="A124" s="6" t="s">
        <v>206</v>
      </c>
      <c r="B124" s="6" t="s">
        <v>180</v>
      </c>
      <c r="C124" s="6">
        <v>100.0</v>
      </c>
      <c r="D124" s="6" t="s">
        <v>26</v>
      </c>
      <c r="E124" s="6">
        <v>30.7354166666667</v>
      </c>
      <c r="F124" s="6">
        <v>100.0</v>
      </c>
      <c r="G124" s="6">
        <f t="shared" si="2"/>
        <v>30.73541667</v>
      </c>
      <c r="H124" s="6">
        <v>14413.5181795973</v>
      </c>
      <c r="I124" s="6">
        <v>550.137096488856</v>
      </c>
      <c r="J124" s="6">
        <v>450.87441653157</v>
      </c>
      <c r="K124" s="6">
        <v>15414.52969261773</v>
      </c>
      <c r="L124" s="6">
        <f t="shared" si="3"/>
        <v>0.001993925036</v>
      </c>
      <c r="M124" s="6">
        <f t="shared" si="4"/>
        <v>0.001993925036</v>
      </c>
      <c r="N124" s="6">
        <f t="shared" si="5"/>
        <v>0.002132402116</v>
      </c>
      <c r="O124" s="6">
        <f t="shared" si="6"/>
        <v>0.05586864958</v>
      </c>
      <c r="P124" s="6">
        <f t="shared" si="7"/>
        <v>0.06816846452</v>
      </c>
      <c r="Q124" s="6">
        <f t="shared" si="8"/>
        <v>0.002132402116</v>
      </c>
      <c r="R124" s="6">
        <f t="shared" si="9"/>
        <v>0.05586864958</v>
      </c>
      <c r="S124" s="6">
        <f t="shared" ref="S124:T124" si="135">G124/J124</f>
        <v>0.06816846452</v>
      </c>
      <c r="T124" s="6">
        <f t="shared" si="135"/>
        <v>0.9350605219</v>
      </c>
      <c r="U124" s="6">
        <f t="shared" si="11"/>
        <v>0.03568951551</v>
      </c>
      <c r="V124" s="6">
        <f t="shared" si="12"/>
        <v>0.02924996257</v>
      </c>
      <c r="W124" s="6">
        <f t="shared" si="13"/>
        <v>501.5233683</v>
      </c>
      <c r="X124" s="6">
        <f t="shared" si="14"/>
        <v>501.5233683</v>
      </c>
      <c r="Y124" s="6"/>
      <c r="Z124" s="6"/>
    </row>
    <row r="125" ht="15.75" customHeight="1">
      <c r="A125" s="6" t="s">
        <v>207</v>
      </c>
      <c r="B125" s="6" t="s">
        <v>180</v>
      </c>
      <c r="C125" s="6">
        <v>100.0</v>
      </c>
      <c r="D125" s="6" t="s">
        <v>26</v>
      </c>
      <c r="E125" s="6">
        <v>30.6866666666667</v>
      </c>
      <c r="F125" s="6">
        <v>100.0</v>
      </c>
      <c r="G125" s="6">
        <f t="shared" si="2"/>
        <v>30.68666667</v>
      </c>
      <c r="H125" s="6">
        <v>14413.5181795973</v>
      </c>
      <c r="I125" s="6">
        <v>550.137096488856</v>
      </c>
      <c r="J125" s="6">
        <v>450.87441653157</v>
      </c>
      <c r="K125" s="6">
        <v>15414.52969261773</v>
      </c>
      <c r="L125" s="6">
        <f t="shared" si="3"/>
        <v>0.001990762435</v>
      </c>
      <c r="M125" s="6">
        <f t="shared" si="4"/>
        <v>0.001990762435</v>
      </c>
      <c r="N125" s="6">
        <f t="shared" si="5"/>
        <v>0.002129019875</v>
      </c>
      <c r="O125" s="6">
        <f t="shared" si="6"/>
        <v>0.05578003531</v>
      </c>
      <c r="P125" s="6">
        <f t="shared" si="7"/>
        <v>0.06806034129</v>
      </c>
      <c r="Q125" s="6">
        <f t="shared" si="8"/>
        <v>0.002129019875</v>
      </c>
      <c r="R125" s="6">
        <f t="shared" si="9"/>
        <v>0.05578003531</v>
      </c>
      <c r="S125" s="6">
        <f t="shared" ref="S125:T125" si="136">G125/J125</f>
        <v>0.06806034129</v>
      </c>
      <c r="T125" s="6">
        <f t="shared" si="136"/>
        <v>0.9350605219</v>
      </c>
      <c r="U125" s="6">
        <f t="shared" si="11"/>
        <v>0.03568951551</v>
      </c>
      <c r="V125" s="6">
        <f t="shared" si="12"/>
        <v>0.02924996257</v>
      </c>
      <c r="W125" s="6">
        <f t="shared" si="13"/>
        <v>502.3201073</v>
      </c>
      <c r="X125" s="6">
        <f t="shared" si="14"/>
        <v>502.3201073</v>
      </c>
      <c r="Y125" s="6"/>
      <c r="Z125" s="6"/>
    </row>
    <row r="126" ht="15.75" customHeight="1">
      <c r="A126" s="5" t="s">
        <v>208</v>
      </c>
      <c r="B126" s="5" t="s">
        <v>64</v>
      </c>
      <c r="C126" s="5">
        <v>100.0</v>
      </c>
      <c r="D126" s="5" t="s">
        <v>71</v>
      </c>
      <c r="E126" s="5">
        <v>7.9535652173913</v>
      </c>
      <c r="F126" s="5">
        <v>45.0</v>
      </c>
      <c r="G126" s="5">
        <f t="shared" si="2"/>
        <v>3.579104348</v>
      </c>
      <c r="H126" s="5">
        <v>1277.21127399482</v>
      </c>
      <c r="I126" s="5">
        <v>342.455126869744</v>
      </c>
      <c r="J126" s="5">
        <v>207.421846646418</v>
      </c>
      <c r="K126" s="5">
        <v>1827.088247510982</v>
      </c>
      <c r="L126" s="5">
        <f t="shared" si="3"/>
        <v>0.004353136871</v>
      </c>
      <c r="M126" s="5">
        <f t="shared" si="4"/>
        <v>0.001958911592</v>
      </c>
      <c r="N126" s="5">
        <f t="shared" si="5"/>
        <v>0.006227290175</v>
      </c>
      <c r="O126" s="5">
        <f t="shared" si="6"/>
        <v>0.0232251311</v>
      </c>
      <c r="P126" s="5">
        <f t="shared" si="7"/>
        <v>0.0383448771</v>
      </c>
      <c r="Q126" s="5">
        <f t="shared" si="8"/>
        <v>0.002802280579</v>
      </c>
      <c r="R126" s="5">
        <f t="shared" si="9"/>
        <v>0.01045130899</v>
      </c>
      <c r="S126" s="5">
        <f t="shared" ref="S126:T126" si="137">G126/J126</f>
        <v>0.01725519469</v>
      </c>
      <c r="T126" s="5">
        <f t="shared" si="137"/>
        <v>0.6990419186</v>
      </c>
      <c r="U126" s="5">
        <f t="shared" si="11"/>
        <v>0.1874321765</v>
      </c>
      <c r="V126" s="5">
        <f t="shared" si="12"/>
        <v>0.1135259049</v>
      </c>
      <c r="W126" s="5">
        <f t="shared" si="13"/>
        <v>229.7194023</v>
      </c>
      <c r="X126" s="5">
        <f t="shared" si="14"/>
        <v>510.4875606</v>
      </c>
    </row>
    <row r="127" ht="15.75" customHeight="1">
      <c r="A127" s="5" t="s">
        <v>209</v>
      </c>
      <c r="B127" s="5" t="s">
        <v>170</v>
      </c>
      <c r="C127" s="5">
        <v>100.0</v>
      </c>
      <c r="D127" s="5" t="s">
        <v>96</v>
      </c>
      <c r="E127" s="5">
        <v>6.43115942028986</v>
      </c>
      <c r="F127" s="5">
        <v>37.0</v>
      </c>
      <c r="G127" s="5">
        <f t="shared" si="2"/>
        <v>2.379528986</v>
      </c>
      <c r="H127" s="5">
        <v>947.196348038685</v>
      </c>
      <c r="I127" s="5">
        <v>81.2263955986409</v>
      </c>
      <c r="J127" s="5">
        <v>193.930919677353</v>
      </c>
      <c r="K127" s="5">
        <v>1222.353663314679</v>
      </c>
      <c r="L127" s="5">
        <f t="shared" si="3"/>
        <v>0.005261291894</v>
      </c>
      <c r="M127" s="5">
        <f t="shared" si="4"/>
        <v>0.001946678001</v>
      </c>
      <c r="N127" s="5">
        <f t="shared" si="5"/>
        <v>0.006789679282</v>
      </c>
      <c r="O127" s="5">
        <f t="shared" si="6"/>
        <v>0.07917573312</v>
      </c>
      <c r="P127" s="5">
        <f t="shared" si="7"/>
        <v>0.03316211479</v>
      </c>
      <c r="Q127" s="5">
        <f t="shared" si="8"/>
        <v>0.002512181334</v>
      </c>
      <c r="R127" s="5">
        <f t="shared" si="9"/>
        <v>0.02929502125</v>
      </c>
      <c r="S127" s="5">
        <f t="shared" ref="S127:T127" si="138">G127/J127</f>
        <v>0.01226998247</v>
      </c>
      <c r="T127" s="5">
        <f t="shared" si="138"/>
        <v>0.7748954959</v>
      </c>
      <c r="U127" s="5">
        <f t="shared" si="11"/>
        <v>0.06645081373</v>
      </c>
      <c r="V127" s="5">
        <f t="shared" si="12"/>
        <v>0.1586536904</v>
      </c>
      <c r="W127" s="5">
        <f t="shared" si="13"/>
        <v>190.0673865</v>
      </c>
      <c r="X127" s="5">
        <f t="shared" si="14"/>
        <v>513.6956392</v>
      </c>
    </row>
    <row r="128" ht="15.75" customHeight="1">
      <c r="A128" s="6" t="s">
        <v>210</v>
      </c>
      <c r="B128" s="6" t="s">
        <v>180</v>
      </c>
      <c r="C128" s="6">
        <v>100.0</v>
      </c>
      <c r="D128" s="6" t="s">
        <v>26</v>
      </c>
      <c r="E128" s="6">
        <v>29.88</v>
      </c>
      <c r="F128" s="6">
        <v>100.0</v>
      </c>
      <c r="G128" s="6">
        <f t="shared" si="2"/>
        <v>29.88</v>
      </c>
      <c r="H128" s="6">
        <v>14413.5181795973</v>
      </c>
      <c r="I128" s="6">
        <v>550.137096488856</v>
      </c>
      <c r="J128" s="6">
        <v>450.87441653157</v>
      </c>
      <c r="K128" s="6">
        <v>15414.52969261773</v>
      </c>
      <c r="L128" s="6">
        <f t="shared" si="3"/>
        <v>0.001938430857</v>
      </c>
      <c r="M128" s="6">
        <f t="shared" si="4"/>
        <v>0.001938430857</v>
      </c>
      <c r="N128" s="6">
        <f t="shared" si="5"/>
        <v>0.002073053895</v>
      </c>
      <c r="O128" s="6">
        <f t="shared" si="6"/>
        <v>0.05431373414</v>
      </c>
      <c r="P128" s="6">
        <f t="shared" si="7"/>
        <v>0.06627122521</v>
      </c>
      <c r="Q128" s="6">
        <f t="shared" si="8"/>
        <v>0.002073053895</v>
      </c>
      <c r="R128" s="6">
        <f t="shared" si="9"/>
        <v>0.05431373414</v>
      </c>
      <c r="S128" s="6">
        <f t="shared" ref="S128:T128" si="139">G128/J128</f>
        <v>0.06627122521</v>
      </c>
      <c r="T128" s="6">
        <f t="shared" si="139"/>
        <v>0.9350605219</v>
      </c>
      <c r="U128" s="6">
        <f t="shared" si="11"/>
        <v>0.03568951551</v>
      </c>
      <c r="V128" s="6">
        <f t="shared" si="12"/>
        <v>0.02924996257</v>
      </c>
      <c r="W128" s="6">
        <f t="shared" si="13"/>
        <v>515.8811811</v>
      </c>
      <c r="X128" s="6">
        <f t="shared" si="14"/>
        <v>515.8811811</v>
      </c>
      <c r="Y128" s="6"/>
      <c r="Z128" s="6"/>
    </row>
    <row r="129" ht="15.75" customHeight="1">
      <c r="A129" s="6" t="s">
        <v>211</v>
      </c>
      <c r="B129" s="6" t="s">
        <v>180</v>
      </c>
      <c r="C129" s="6">
        <v>100.0</v>
      </c>
      <c r="D129" s="6" t="s">
        <v>26</v>
      </c>
      <c r="E129" s="6">
        <v>29.86</v>
      </c>
      <c r="F129" s="6">
        <v>100.0</v>
      </c>
      <c r="G129" s="6">
        <f t="shared" si="2"/>
        <v>29.86</v>
      </c>
      <c r="H129" s="6">
        <v>14413.5181795973</v>
      </c>
      <c r="I129" s="6">
        <v>550.137096488856</v>
      </c>
      <c r="J129" s="6">
        <v>450.87441653157</v>
      </c>
      <c r="K129" s="6">
        <v>15414.52969261773</v>
      </c>
      <c r="L129" s="6">
        <f t="shared" si="3"/>
        <v>0.00193713338</v>
      </c>
      <c r="M129" s="6">
        <f t="shared" si="4"/>
        <v>0.00193713338</v>
      </c>
      <c r="N129" s="6">
        <f t="shared" si="5"/>
        <v>0.002071666309</v>
      </c>
      <c r="O129" s="6">
        <f t="shared" si="6"/>
        <v>0.05427737957</v>
      </c>
      <c r="P129" s="6">
        <f t="shared" si="7"/>
        <v>0.06622686696</v>
      </c>
      <c r="Q129" s="6">
        <f t="shared" si="8"/>
        <v>0.002071666309</v>
      </c>
      <c r="R129" s="6">
        <f t="shared" si="9"/>
        <v>0.05427737957</v>
      </c>
      <c r="S129" s="6">
        <f t="shared" ref="S129:T129" si="140">G129/J129</f>
        <v>0.06622686696</v>
      </c>
      <c r="T129" s="6">
        <f t="shared" si="140"/>
        <v>0.9350605219</v>
      </c>
      <c r="U129" s="6">
        <f t="shared" si="11"/>
        <v>0.03568951551</v>
      </c>
      <c r="V129" s="6">
        <f t="shared" si="12"/>
        <v>0.02924996257</v>
      </c>
      <c r="W129" s="6">
        <f t="shared" si="13"/>
        <v>516.2267144</v>
      </c>
      <c r="X129" s="6">
        <f t="shared" si="14"/>
        <v>516.2267144</v>
      </c>
      <c r="Y129" s="6"/>
      <c r="Z129" s="6"/>
    </row>
    <row r="130" ht="15.75" customHeight="1">
      <c r="A130" s="4" t="s">
        <v>212</v>
      </c>
      <c r="B130" s="4" t="s">
        <v>163</v>
      </c>
      <c r="C130" s="4">
        <v>53.62</v>
      </c>
      <c r="D130" s="4" t="s">
        <v>26</v>
      </c>
      <c r="E130" s="4">
        <v>13.15625</v>
      </c>
      <c r="F130" s="4">
        <v>100.0</v>
      </c>
      <c r="G130" s="4">
        <f t="shared" si="2"/>
        <v>13.15625</v>
      </c>
      <c r="H130" s="4">
        <v>6366.39415492142</v>
      </c>
      <c r="I130" s="4">
        <v>241.74917236811</v>
      </c>
      <c r="J130" s="4">
        <v>199.149452218639</v>
      </c>
      <c r="K130" s="4">
        <v>6807.292779508169</v>
      </c>
      <c r="L130" s="4">
        <f t="shared" si="3"/>
        <v>0.001932669921</v>
      </c>
      <c r="M130" s="4">
        <f t="shared" si="4"/>
        <v>0.001932669921</v>
      </c>
      <c r="N130" s="4">
        <f t="shared" si="5"/>
        <v>0.002066515154</v>
      </c>
      <c r="O130" s="4">
        <f t="shared" si="6"/>
        <v>0.05442107566</v>
      </c>
      <c r="P130" s="4">
        <f t="shared" si="7"/>
        <v>0.06606219527</v>
      </c>
      <c r="Q130" s="4">
        <f t="shared" si="8"/>
        <v>0.002066515154</v>
      </c>
      <c r="R130" s="4">
        <f t="shared" si="9"/>
        <v>0.05442107566</v>
      </c>
      <c r="S130" s="4">
        <f t="shared" ref="S130:T130" si="141">G130/J130</f>
        <v>0.06606219527</v>
      </c>
      <c r="T130" s="4">
        <f t="shared" si="141"/>
        <v>0.9352314292</v>
      </c>
      <c r="U130" s="4">
        <f t="shared" si="11"/>
        <v>0.03551326206</v>
      </c>
      <c r="V130" s="4">
        <f t="shared" si="12"/>
        <v>0.02925530878</v>
      </c>
      <c r="W130" s="4">
        <f t="shared" si="13"/>
        <v>517.4189286</v>
      </c>
      <c r="X130" s="4">
        <f t="shared" si="14"/>
        <v>517.4189286</v>
      </c>
      <c r="Y130" s="4"/>
      <c r="Z130" s="4"/>
    </row>
    <row r="131" ht="15.75" customHeight="1">
      <c r="A131" s="6" t="s">
        <v>213</v>
      </c>
      <c r="B131" s="6" t="s">
        <v>180</v>
      </c>
      <c r="C131" s="6">
        <v>100.0</v>
      </c>
      <c r="D131" s="6" t="s">
        <v>26</v>
      </c>
      <c r="E131" s="6">
        <v>29.72</v>
      </c>
      <c r="F131" s="6">
        <v>100.0</v>
      </c>
      <c r="G131" s="6">
        <f t="shared" si="2"/>
        <v>29.72</v>
      </c>
      <c r="H131" s="6">
        <v>14413.5181795973</v>
      </c>
      <c r="I131" s="6">
        <v>550.137096488856</v>
      </c>
      <c r="J131" s="6">
        <v>450.87441653157</v>
      </c>
      <c r="K131" s="6">
        <v>15414.52969261773</v>
      </c>
      <c r="L131" s="6">
        <f t="shared" si="3"/>
        <v>0.00192805104</v>
      </c>
      <c r="M131" s="6">
        <f t="shared" si="4"/>
        <v>0.00192805104</v>
      </c>
      <c r="N131" s="6">
        <f t="shared" si="5"/>
        <v>0.002061953205</v>
      </c>
      <c r="O131" s="6">
        <f t="shared" si="6"/>
        <v>0.05402289755</v>
      </c>
      <c r="P131" s="6">
        <f t="shared" si="7"/>
        <v>0.06591635921</v>
      </c>
      <c r="Q131" s="6">
        <f t="shared" si="8"/>
        <v>0.002061953205</v>
      </c>
      <c r="R131" s="6">
        <f t="shared" si="9"/>
        <v>0.05402289755</v>
      </c>
      <c r="S131" s="6">
        <f t="shared" ref="S131:T131" si="142">G131/J131</f>
        <v>0.06591635921</v>
      </c>
      <c r="T131" s="6">
        <f t="shared" si="142"/>
        <v>0.9350605219</v>
      </c>
      <c r="U131" s="6">
        <f t="shared" si="11"/>
        <v>0.03568951551</v>
      </c>
      <c r="V131" s="6">
        <f t="shared" si="12"/>
        <v>0.02924996257</v>
      </c>
      <c r="W131" s="6">
        <f t="shared" si="13"/>
        <v>518.6584688</v>
      </c>
      <c r="X131" s="6">
        <f t="shared" si="14"/>
        <v>518.6584688</v>
      </c>
      <c r="Y131" s="6"/>
      <c r="Z131" s="6"/>
    </row>
    <row r="132" ht="15.75" customHeight="1">
      <c r="A132" s="6" t="s">
        <v>214</v>
      </c>
      <c r="B132" s="6" t="s">
        <v>180</v>
      </c>
      <c r="C132" s="6">
        <v>100.0</v>
      </c>
      <c r="D132" s="6" t="s">
        <v>26</v>
      </c>
      <c r="E132" s="6">
        <v>29.3766666666667</v>
      </c>
      <c r="F132" s="6">
        <v>100.0</v>
      </c>
      <c r="G132" s="6">
        <f t="shared" si="2"/>
        <v>29.37666667</v>
      </c>
      <c r="H132" s="6">
        <v>14413.5181795973</v>
      </c>
      <c r="I132" s="6">
        <v>550.137096488856</v>
      </c>
      <c r="J132" s="6">
        <v>450.87441653157</v>
      </c>
      <c r="K132" s="6">
        <v>15414.52969261773</v>
      </c>
      <c r="L132" s="6">
        <f t="shared" si="3"/>
        <v>0.001905777682</v>
      </c>
      <c r="M132" s="6">
        <f t="shared" si="4"/>
        <v>0.001905777682</v>
      </c>
      <c r="N132" s="6">
        <f t="shared" si="5"/>
        <v>0.002038132974</v>
      </c>
      <c r="O132" s="6">
        <f t="shared" si="6"/>
        <v>0.05339881069</v>
      </c>
      <c r="P132" s="6">
        <f t="shared" si="7"/>
        <v>0.06515487592</v>
      </c>
      <c r="Q132" s="6">
        <f t="shared" si="8"/>
        <v>0.002038132974</v>
      </c>
      <c r="R132" s="6">
        <f t="shared" si="9"/>
        <v>0.05339881069</v>
      </c>
      <c r="S132" s="6">
        <f t="shared" ref="S132:T132" si="143">G132/J132</f>
        <v>0.06515487592</v>
      </c>
      <c r="T132" s="6">
        <f t="shared" si="143"/>
        <v>0.9350605219</v>
      </c>
      <c r="U132" s="6">
        <f t="shared" si="11"/>
        <v>0.03568951551</v>
      </c>
      <c r="V132" s="6">
        <f t="shared" si="12"/>
        <v>0.02924996257</v>
      </c>
      <c r="W132" s="6">
        <f t="shared" si="13"/>
        <v>524.7201756</v>
      </c>
      <c r="X132" s="6">
        <f t="shared" si="14"/>
        <v>524.7201756</v>
      </c>
      <c r="Y132" s="6"/>
      <c r="Z132" s="6"/>
    </row>
    <row r="133" ht="15.75" customHeight="1">
      <c r="A133" s="5" t="s">
        <v>215</v>
      </c>
      <c r="B133" s="5" t="s">
        <v>90</v>
      </c>
      <c r="C133" s="5">
        <v>100.0</v>
      </c>
      <c r="D133" s="5" t="s">
        <v>33</v>
      </c>
      <c r="E133" s="5">
        <v>9.62954666666667</v>
      </c>
      <c r="F133" s="5">
        <v>100.0</v>
      </c>
      <c r="G133" s="5">
        <f t="shared" si="2"/>
        <v>9.629546667</v>
      </c>
      <c r="H133" s="5">
        <v>4264.41046200854</v>
      </c>
      <c r="I133" s="5">
        <v>438.660008395035</v>
      </c>
      <c r="J133" s="5">
        <v>357.275288744589</v>
      </c>
      <c r="K133" s="5">
        <v>5060.345759148164</v>
      </c>
      <c r="L133" s="5">
        <f t="shared" si="3"/>
        <v>0.001902942432</v>
      </c>
      <c r="M133" s="5">
        <f t="shared" si="4"/>
        <v>0.001902942432</v>
      </c>
      <c r="N133" s="5">
        <f t="shared" si="5"/>
        <v>0.002258119089</v>
      </c>
      <c r="O133" s="5">
        <f t="shared" si="6"/>
        <v>0.0219521873</v>
      </c>
      <c r="P133" s="5">
        <f t="shared" si="7"/>
        <v>0.02695273636</v>
      </c>
      <c r="Q133" s="5">
        <f t="shared" si="8"/>
        <v>0.002258119089</v>
      </c>
      <c r="R133" s="5">
        <f t="shared" si="9"/>
        <v>0.0219521873</v>
      </c>
      <c r="S133" s="5">
        <f t="shared" ref="S133:T133" si="144">G133/J133</f>
        <v>0.02695273636</v>
      </c>
      <c r="T133" s="5">
        <f t="shared" si="144"/>
        <v>0.842711282</v>
      </c>
      <c r="U133" s="5">
        <f t="shared" si="11"/>
        <v>0.08668577786</v>
      </c>
      <c r="V133" s="5">
        <f t="shared" si="12"/>
        <v>0.07060294014</v>
      </c>
      <c r="W133" s="5">
        <f t="shared" si="13"/>
        <v>525.5019716</v>
      </c>
      <c r="X133" s="5">
        <f t="shared" si="14"/>
        <v>525.5019716</v>
      </c>
    </row>
    <row r="134" ht="15.75" customHeight="1">
      <c r="A134" s="6" t="s">
        <v>216</v>
      </c>
      <c r="B134" s="6" t="s">
        <v>180</v>
      </c>
      <c r="C134" s="6">
        <v>100.0</v>
      </c>
      <c r="D134" s="6" t="s">
        <v>26</v>
      </c>
      <c r="E134" s="6">
        <v>28.8066666666667</v>
      </c>
      <c r="F134" s="6">
        <v>100.0</v>
      </c>
      <c r="G134" s="6">
        <f t="shared" si="2"/>
        <v>28.80666667</v>
      </c>
      <c r="H134" s="6">
        <v>14413.5181795973</v>
      </c>
      <c r="I134" s="6">
        <v>550.137096488856</v>
      </c>
      <c r="J134" s="6">
        <v>450.87441653157</v>
      </c>
      <c r="K134" s="6">
        <v>15414.52969261773</v>
      </c>
      <c r="L134" s="6">
        <f t="shared" si="3"/>
        <v>0.001868799583</v>
      </c>
      <c r="M134" s="6">
        <f t="shared" si="4"/>
        <v>0.001868799583</v>
      </c>
      <c r="N134" s="6">
        <f t="shared" si="5"/>
        <v>0.001998586765</v>
      </c>
      <c r="O134" s="6">
        <f t="shared" si="6"/>
        <v>0.05236270532</v>
      </c>
      <c r="P134" s="6">
        <f t="shared" si="7"/>
        <v>0.06389066581</v>
      </c>
      <c r="Q134" s="6">
        <f t="shared" si="8"/>
        <v>0.001998586765</v>
      </c>
      <c r="R134" s="6">
        <f t="shared" si="9"/>
        <v>0.05236270532</v>
      </c>
      <c r="S134" s="6">
        <f t="shared" ref="S134:T134" si="145">G134/J134</f>
        <v>0.06389066581</v>
      </c>
      <c r="T134" s="6">
        <f t="shared" si="145"/>
        <v>0.9350605219</v>
      </c>
      <c r="U134" s="6">
        <f t="shared" si="11"/>
        <v>0.03568951551</v>
      </c>
      <c r="V134" s="6">
        <f t="shared" si="12"/>
        <v>0.02924996257</v>
      </c>
      <c r="W134" s="6">
        <f t="shared" si="13"/>
        <v>535.102859</v>
      </c>
      <c r="X134" s="6">
        <f t="shared" si="14"/>
        <v>535.102859</v>
      </c>
      <c r="Y134" s="6"/>
      <c r="Z134" s="6"/>
    </row>
    <row r="135" ht="15.75" customHeight="1">
      <c r="A135" s="6" t="s">
        <v>217</v>
      </c>
      <c r="B135" s="6" t="s">
        <v>92</v>
      </c>
      <c r="C135" s="6">
        <v>100.0</v>
      </c>
      <c r="D135" s="6" t="s">
        <v>57</v>
      </c>
      <c r="E135" s="6">
        <v>6.23958333333333</v>
      </c>
      <c r="F135" s="6">
        <v>50.0</v>
      </c>
      <c r="G135" s="6">
        <f t="shared" si="2"/>
        <v>3.119791667</v>
      </c>
      <c r="H135" s="6">
        <v>1145.51821651437</v>
      </c>
      <c r="I135" s="6">
        <v>340.779940506365</v>
      </c>
      <c r="J135" s="6">
        <v>186.502889111544</v>
      </c>
      <c r="K135" s="6">
        <v>1672.801046132279</v>
      </c>
      <c r="L135" s="6">
        <f t="shared" si="3"/>
        <v>0.003730021181</v>
      </c>
      <c r="M135" s="6">
        <f t="shared" si="4"/>
        <v>0.00186501059</v>
      </c>
      <c r="N135" s="6">
        <f t="shared" si="5"/>
        <v>0.005446952518</v>
      </c>
      <c r="O135" s="6">
        <f t="shared" si="6"/>
        <v>0.01830971425</v>
      </c>
      <c r="P135" s="6">
        <f t="shared" si="7"/>
        <v>0.03345569263</v>
      </c>
      <c r="Q135" s="6">
        <f t="shared" si="8"/>
        <v>0.002723476259</v>
      </c>
      <c r="R135" s="6">
        <f t="shared" si="9"/>
        <v>0.009154857126</v>
      </c>
      <c r="S135" s="6">
        <f t="shared" ref="S135:T135" si="146">G135/J135</f>
        <v>0.01672784632</v>
      </c>
      <c r="T135" s="6">
        <f t="shared" si="146"/>
        <v>0.6847904711</v>
      </c>
      <c r="U135" s="6">
        <f t="shared" si="11"/>
        <v>0.2037181536</v>
      </c>
      <c r="V135" s="6">
        <f t="shared" si="12"/>
        <v>0.1114913752</v>
      </c>
      <c r="W135" s="6">
        <f t="shared" si="13"/>
        <v>268.0949924</v>
      </c>
      <c r="X135" s="6">
        <f t="shared" si="14"/>
        <v>536.1899847</v>
      </c>
      <c r="Y135" s="6"/>
      <c r="Z135" s="6"/>
    </row>
    <row r="136" ht="15.75" customHeight="1">
      <c r="A136" s="6" t="s">
        <v>218</v>
      </c>
      <c r="B136" s="6" t="s">
        <v>180</v>
      </c>
      <c r="C136" s="6">
        <v>100.0</v>
      </c>
      <c r="D136" s="6" t="s">
        <v>26</v>
      </c>
      <c r="E136" s="6">
        <v>28.63125</v>
      </c>
      <c r="F136" s="6">
        <v>100.0</v>
      </c>
      <c r="G136" s="6">
        <f t="shared" si="2"/>
        <v>28.63125</v>
      </c>
      <c r="H136" s="6">
        <v>14413.5181795973</v>
      </c>
      <c r="I136" s="6">
        <v>550.137096488856</v>
      </c>
      <c r="J136" s="6">
        <v>450.87441653157</v>
      </c>
      <c r="K136" s="6">
        <v>15414.52969261773</v>
      </c>
      <c r="L136" s="6">
        <f t="shared" si="3"/>
        <v>0.001857419628</v>
      </c>
      <c r="M136" s="6">
        <f t="shared" si="4"/>
        <v>0.001857419628</v>
      </c>
      <c r="N136" s="6">
        <f t="shared" si="5"/>
        <v>0.001986416477</v>
      </c>
      <c r="O136" s="6">
        <f t="shared" si="6"/>
        <v>0.0520438454</v>
      </c>
      <c r="P136" s="6">
        <f t="shared" si="7"/>
        <v>0.06350160699</v>
      </c>
      <c r="Q136" s="6">
        <f t="shared" si="8"/>
        <v>0.001986416477</v>
      </c>
      <c r="R136" s="6">
        <f t="shared" si="9"/>
        <v>0.0520438454</v>
      </c>
      <c r="S136" s="6">
        <f t="shared" ref="S136:T136" si="147">G136/J136</f>
        <v>0.06350160699</v>
      </c>
      <c r="T136" s="6">
        <f t="shared" si="147"/>
        <v>0.9350605219</v>
      </c>
      <c r="U136" s="6">
        <f t="shared" si="11"/>
        <v>0.03568951551</v>
      </c>
      <c r="V136" s="6">
        <f t="shared" si="12"/>
        <v>0.02924996257</v>
      </c>
      <c r="W136" s="6">
        <f t="shared" si="13"/>
        <v>538.3813034</v>
      </c>
      <c r="X136" s="6">
        <f t="shared" si="14"/>
        <v>538.3813034</v>
      </c>
      <c r="Y136" s="6"/>
      <c r="Z136" s="6"/>
    </row>
    <row r="137" ht="15.75" customHeight="1">
      <c r="A137" s="5" t="s">
        <v>219</v>
      </c>
      <c r="B137" s="5" t="s">
        <v>90</v>
      </c>
      <c r="C137" s="5">
        <v>100.0</v>
      </c>
      <c r="D137" s="5" t="s">
        <v>33</v>
      </c>
      <c r="E137" s="5">
        <v>9.35733333333333</v>
      </c>
      <c r="F137" s="5">
        <v>100.0</v>
      </c>
      <c r="G137" s="5">
        <f t="shared" si="2"/>
        <v>9.357333333</v>
      </c>
      <c r="H137" s="5">
        <v>4264.41046200854</v>
      </c>
      <c r="I137" s="5">
        <v>438.660008395035</v>
      </c>
      <c r="J137" s="5">
        <v>357.275288744589</v>
      </c>
      <c r="K137" s="5">
        <v>5060.345759148164</v>
      </c>
      <c r="L137" s="5">
        <f t="shared" si="3"/>
        <v>0.001849149007</v>
      </c>
      <c r="M137" s="5">
        <f t="shared" si="4"/>
        <v>0.001849149007</v>
      </c>
      <c r="N137" s="5">
        <f t="shared" si="5"/>
        <v>0.002194285334</v>
      </c>
      <c r="O137" s="5">
        <f t="shared" si="6"/>
        <v>0.02133163077</v>
      </c>
      <c r="P137" s="5">
        <f t="shared" si="7"/>
        <v>0.02619082155</v>
      </c>
      <c r="Q137" s="5">
        <f t="shared" si="8"/>
        <v>0.002194285334</v>
      </c>
      <c r="R137" s="5">
        <f t="shared" si="9"/>
        <v>0.02133163077</v>
      </c>
      <c r="S137" s="5">
        <f t="shared" ref="S137:T137" si="148">G137/J137</f>
        <v>0.02619082155</v>
      </c>
      <c r="T137" s="5">
        <f t="shared" si="148"/>
        <v>0.842711282</v>
      </c>
      <c r="U137" s="5">
        <f t="shared" si="11"/>
        <v>0.08668577786</v>
      </c>
      <c r="V137" s="5">
        <f t="shared" si="12"/>
        <v>0.07060294014</v>
      </c>
      <c r="W137" s="5">
        <f t="shared" si="13"/>
        <v>540.7893017</v>
      </c>
      <c r="X137" s="5">
        <f t="shared" si="14"/>
        <v>540.7893017</v>
      </c>
    </row>
    <row r="138" ht="15.75" customHeight="1">
      <c r="A138" s="3" t="s">
        <v>220</v>
      </c>
      <c r="B138" s="3" t="s">
        <v>221</v>
      </c>
      <c r="C138" s="3">
        <v>36.15</v>
      </c>
      <c r="D138" s="3" t="s">
        <v>71</v>
      </c>
      <c r="E138" s="3">
        <v>6.22291666666667</v>
      </c>
      <c r="F138" s="3">
        <v>45.0</v>
      </c>
      <c r="G138" s="3">
        <f t="shared" si="2"/>
        <v>2.8003125</v>
      </c>
      <c r="H138" s="3">
        <v>1334.12869927631</v>
      </c>
      <c r="I138" s="3">
        <v>132.269692476712</v>
      </c>
      <c r="J138" s="3">
        <v>111.774234798187</v>
      </c>
      <c r="K138" s="3">
        <v>1578.172626551209</v>
      </c>
      <c r="L138" s="3">
        <f t="shared" si="3"/>
        <v>0.003943115323</v>
      </c>
      <c r="M138" s="3">
        <f t="shared" si="4"/>
        <v>0.001774401896</v>
      </c>
      <c r="N138" s="3">
        <f t="shared" si="5"/>
        <v>0.004664405068</v>
      </c>
      <c r="O138" s="3">
        <f t="shared" si="6"/>
        <v>0.04704718481</v>
      </c>
      <c r="P138" s="3">
        <f t="shared" si="7"/>
        <v>0.05567398138</v>
      </c>
      <c r="Q138" s="3">
        <f t="shared" si="8"/>
        <v>0.002098982281</v>
      </c>
      <c r="R138" s="3">
        <f t="shared" si="9"/>
        <v>0.02117123316</v>
      </c>
      <c r="S138" s="3">
        <f t="shared" ref="S138:T138" si="149">G138/J138</f>
        <v>0.02505329162</v>
      </c>
      <c r="T138" s="3">
        <f t="shared" si="149"/>
        <v>0.8453629703</v>
      </c>
      <c r="U138" s="3">
        <f t="shared" si="11"/>
        <v>0.08381192922</v>
      </c>
      <c r="V138" s="3">
        <f t="shared" si="12"/>
        <v>0.07082510045</v>
      </c>
      <c r="W138" s="3">
        <f t="shared" si="13"/>
        <v>253.6065821</v>
      </c>
      <c r="X138" s="3">
        <f t="shared" si="14"/>
        <v>563.5701825</v>
      </c>
      <c r="Y138" s="3"/>
      <c r="Z138" s="3"/>
    </row>
    <row r="139" ht="15.75" customHeight="1">
      <c r="A139" s="3" t="s">
        <v>222</v>
      </c>
      <c r="B139" s="3" t="s">
        <v>223</v>
      </c>
      <c r="C139" s="3">
        <v>53.67</v>
      </c>
      <c r="D139" s="3" t="s">
        <v>26</v>
      </c>
      <c r="E139" s="3">
        <v>12.04375</v>
      </c>
      <c r="F139" s="3">
        <v>100.0</v>
      </c>
      <c r="G139" s="3">
        <f t="shared" si="2"/>
        <v>12.04375</v>
      </c>
      <c r="H139" s="3">
        <v>6366.39415492142</v>
      </c>
      <c r="I139" s="3">
        <v>241.74917236811</v>
      </c>
      <c r="J139" s="3">
        <v>199.149452218639</v>
      </c>
      <c r="K139" s="3">
        <v>6807.292779508169</v>
      </c>
      <c r="L139" s="3">
        <f t="shared" si="3"/>
        <v>0.001769242251</v>
      </c>
      <c r="M139" s="3">
        <f t="shared" si="4"/>
        <v>0.001769242251</v>
      </c>
      <c r="N139" s="3">
        <f t="shared" si="5"/>
        <v>0.001891769455</v>
      </c>
      <c r="O139" s="3">
        <f t="shared" si="6"/>
        <v>0.04981919848</v>
      </c>
      <c r="P139" s="3">
        <f t="shared" si="7"/>
        <v>0.06047593838</v>
      </c>
      <c r="Q139" s="3">
        <f t="shared" si="8"/>
        <v>0.001891769455</v>
      </c>
      <c r="R139" s="3">
        <f t="shared" si="9"/>
        <v>0.04981919848</v>
      </c>
      <c r="S139" s="3">
        <f t="shared" ref="S139:T139" si="150">G139/J139</f>
        <v>0.06047593838</v>
      </c>
      <c r="T139" s="3">
        <f t="shared" si="150"/>
        <v>0.9352314292</v>
      </c>
      <c r="U139" s="3">
        <f t="shared" si="11"/>
        <v>0.03551326206</v>
      </c>
      <c r="V139" s="3">
        <f t="shared" si="12"/>
        <v>0.02925530878</v>
      </c>
      <c r="W139" s="3">
        <f t="shared" si="13"/>
        <v>565.2137233</v>
      </c>
      <c r="X139" s="3">
        <f t="shared" si="14"/>
        <v>565.2137233</v>
      </c>
      <c r="Y139" s="3"/>
      <c r="Z139" s="3"/>
    </row>
    <row r="140" ht="15.75" customHeight="1">
      <c r="A140" s="6" t="s">
        <v>224</v>
      </c>
      <c r="B140" s="6" t="s">
        <v>180</v>
      </c>
      <c r="C140" s="6">
        <v>100.0</v>
      </c>
      <c r="D140" s="6" t="s">
        <v>26</v>
      </c>
      <c r="E140" s="6">
        <v>27.27</v>
      </c>
      <c r="F140" s="6">
        <v>100.0</v>
      </c>
      <c r="G140" s="6">
        <f t="shared" si="2"/>
        <v>27.27</v>
      </c>
      <c r="H140" s="6">
        <v>14413.5181795973</v>
      </c>
      <c r="I140" s="6">
        <v>550.137096488856</v>
      </c>
      <c r="J140" s="6">
        <v>450.87441653157</v>
      </c>
      <c r="K140" s="6">
        <v>15414.52969261773</v>
      </c>
      <c r="L140" s="6">
        <f t="shared" si="3"/>
        <v>0.001769110089</v>
      </c>
      <c r="M140" s="6">
        <f t="shared" si="4"/>
        <v>0.001769110089</v>
      </c>
      <c r="N140" s="6">
        <f t="shared" si="5"/>
        <v>0.001891973886</v>
      </c>
      <c r="O140" s="6">
        <f t="shared" si="6"/>
        <v>0.04956946218</v>
      </c>
      <c r="P140" s="6">
        <f t="shared" si="7"/>
        <v>0.06048247361</v>
      </c>
      <c r="Q140" s="6">
        <f t="shared" si="8"/>
        <v>0.001891973886</v>
      </c>
      <c r="R140" s="6">
        <f t="shared" si="9"/>
        <v>0.04956946218</v>
      </c>
      <c r="S140" s="6">
        <f t="shared" ref="S140:T140" si="151">G140/J140</f>
        <v>0.06048247361</v>
      </c>
      <c r="T140" s="6">
        <f t="shared" si="151"/>
        <v>0.9350605219</v>
      </c>
      <c r="U140" s="6">
        <f t="shared" si="11"/>
        <v>0.03568951551</v>
      </c>
      <c r="V140" s="6">
        <f t="shared" si="12"/>
        <v>0.02924996257</v>
      </c>
      <c r="W140" s="6">
        <f t="shared" si="13"/>
        <v>565.2559477</v>
      </c>
      <c r="X140" s="6">
        <f t="shared" si="14"/>
        <v>565.2559477</v>
      </c>
      <c r="Y140" s="6"/>
      <c r="Z140" s="6"/>
    </row>
    <row r="141" ht="15.75" customHeight="1">
      <c r="A141" s="3" t="s">
        <v>225</v>
      </c>
      <c r="B141" s="3" t="s">
        <v>226</v>
      </c>
      <c r="C141" s="3">
        <v>50.05</v>
      </c>
      <c r="D141" s="3" t="s">
        <v>26</v>
      </c>
      <c r="E141" s="3">
        <v>8.88666666666667</v>
      </c>
      <c r="F141" s="3">
        <v>100.0</v>
      </c>
      <c r="G141" s="3">
        <f t="shared" si="2"/>
        <v>8.886666667</v>
      </c>
      <c r="H141" s="3">
        <v>4264.41046200854</v>
      </c>
      <c r="I141" s="3">
        <v>438.660008395035</v>
      </c>
      <c r="J141" s="3">
        <v>357.275288744589</v>
      </c>
      <c r="K141" s="3">
        <v>5060.345759148164</v>
      </c>
      <c r="L141" s="3">
        <f t="shared" si="3"/>
        <v>0.001756138234</v>
      </c>
      <c r="M141" s="3">
        <f t="shared" si="4"/>
        <v>0.001756138234</v>
      </c>
      <c r="N141" s="3">
        <f t="shared" si="5"/>
        <v>0.00208391447</v>
      </c>
      <c r="O141" s="3">
        <f t="shared" si="6"/>
        <v>0.02025866616</v>
      </c>
      <c r="P141" s="3">
        <f t="shared" si="7"/>
        <v>0.02487344338</v>
      </c>
      <c r="Q141" s="3">
        <f t="shared" si="8"/>
        <v>0.00208391447</v>
      </c>
      <c r="R141" s="3">
        <f t="shared" si="9"/>
        <v>0.02025866616</v>
      </c>
      <c r="S141" s="3">
        <f t="shared" ref="S141:T141" si="152">G141/J141</f>
        <v>0.02487344338</v>
      </c>
      <c r="T141" s="3">
        <f t="shared" si="152"/>
        <v>0.842711282</v>
      </c>
      <c r="U141" s="3">
        <f t="shared" si="11"/>
        <v>0.08668577786</v>
      </c>
      <c r="V141" s="3">
        <f t="shared" si="12"/>
        <v>0.07060294014</v>
      </c>
      <c r="W141" s="3">
        <f t="shared" si="13"/>
        <v>569.4312557</v>
      </c>
      <c r="X141" s="3">
        <f t="shared" si="14"/>
        <v>569.4312557</v>
      </c>
      <c r="Y141" s="3"/>
      <c r="Z141" s="3"/>
    </row>
    <row r="142" ht="15.75" customHeight="1">
      <c r="A142" s="6" t="s">
        <v>227</v>
      </c>
      <c r="B142" s="6" t="s">
        <v>180</v>
      </c>
      <c r="C142" s="6">
        <v>100.0</v>
      </c>
      <c r="D142" s="6" t="s">
        <v>26</v>
      </c>
      <c r="E142" s="6">
        <v>26.93125</v>
      </c>
      <c r="F142" s="6">
        <v>100.0</v>
      </c>
      <c r="G142" s="6">
        <f t="shared" si="2"/>
        <v>26.93125</v>
      </c>
      <c r="H142" s="6">
        <v>14413.5181795973</v>
      </c>
      <c r="I142" s="6">
        <v>550.137096488856</v>
      </c>
      <c r="J142" s="6">
        <v>450.87441653157</v>
      </c>
      <c r="K142" s="6">
        <v>15414.52969261773</v>
      </c>
      <c r="L142" s="6">
        <f t="shared" si="3"/>
        <v>0.00174713407</v>
      </c>
      <c r="M142" s="6">
        <f t="shared" si="4"/>
        <v>0.00174713407</v>
      </c>
      <c r="N142" s="6">
        <f t="shared" si="5"/>
        <v>0.001868471643</v>
      </c>
      <c r="O142" s="6">
        <f t="shared" si="6"/>
        <v>0.04895370658</v>
      </c>
      <c r="P142" s="6">
        <f t="shared" si="7"/>
        <v>0.05973115576</v>
      </c>
      <c r="Q142" s="6">
        <f t="shared" si="8"/>
        <v>0.001868471643</v>
      </c>
      <c r="R142" s="6">
        <f t="shared" si="9"/>
        <v>0.04895370658</v>
      </c>
      <c r="S142" s="6">
        <f t="shared" ref="S142:T142" si="153">G142/J142</f>
        <v>0.05973115576</v>
      </c>
      <c r="T142" s="6">
        <f t="shared" si="153"/>
        <v>0.9350605219</v>
      </c>
      <c r="U142" s="6">
        <f t="shared" si="11"/>
        <v>0.03568951551</v>
      </c>
      <c r="V142" s="6">
        <f t="shared" si="12"/>
        <v>0.02924996257</v>
      </c>
      <c r="W142" s="6">
        <f t="shared" si="13"/>
        <v>572.3659204</v>
      </c>
      <c r="X142" s="6">
        <f t="shared" si="14"/>
        <v>572.3659204</v>
      </c>
      <c r="Y142" s="6"/>
      <c r="Z142" s="6"/>
    </row>
    <row r="143" ht="15.75" customHeight="1">
      <c r="A143" s="6" t="s">
        <v>228</v>
      </c>
      <c r="B143" s="6" t="s">
        <v>180</v>
      </c>
      <c r="C143" s="6">
        <v>100.0</v>
      </c>
      <c r="D143" s="6" t="s">
        <v>26</v>
      </c>
      <c r="E143" s="6">
        <v>26.6866666666667</v>
      </c>
      <c r="F143" s="6">
        <v>100.0</v>
      </c>
      <c r="G143" s="6">
        <f t="shared" si="2"/>
        <v>26.68666667</v>
      </c>
      <c r="H143" s="6">
        <v>14413.5181795973</v>
      </c>
      <c r="I143" s="6">
        <v>550.137096488856</v>
      </c>
      <c r="J143" s="6">
        <v>450.87441653157</v>
      </c>
      <c r="K143" s="6">
        <v>15414.52969261773</v>
      </c>
      <c r="L143" s="6">
        <f t="shared" si="3"/>
        <v>0.001731267006</v>
      </c>
      <c r="M143" s="6">
        <f t="shared" si="4"/>
        <v>0.001731267006</v>
      </c>
      <c r="N143" s="6">
        <f t="shared" si="5"/>
        <v>0.00185150262</v>
      </c>
      <c r="O143" s="6">
        <f t="shared" si="6"/>
        <v>0.04850912043</v>
      </c>
      <c r="P143" s="6">
        <f t="shared" si="7"/>
        <v>0.05918869133</v>
      </c>
      <c r="Q143" s="6">
        <f t="shared" si="8"/>
        <v>0.00185150262</v>
      </c>
      <c r="R143" s="6">
        <f t="shared" si="9"/>
        <v>0.04850912043</v>
      </c>
      <c r="S143" s="6">
        <f t="shared" ref="S143:T143" si="154">G143/J143</f>
        <v>0.05918869133</v>
      </c>
      <c r="T143" s="6">
        <f t="shared" si="154"/>
        <v>0.9350605219</v>
      </c>
      <c r="U143" s="6">
        <f t="shared" si="11"/>
        <v>0.03568951551</v>
      </c>
      <c r="V143" s="6">
        <f t="shared" si="12"/>
        <v>0.02924996257</v>
      </c>
      <c r="W143" s="6">
        <f t="shared" si="13"/>
        <v>577.6116547</v>
      </c>
      <c r="X143" s="6">
        <f t="shared" si="14"/>
        <v>577.6116547</v>
      </c>
      <c r="Y143" s="6"/>
      <c r="Z143" s="6"/>
    </row>
    <row r="144" ht="15.75" customHeight="1">
      <c r="A144" s="6" t="s">
        <v>229</v>
      </c>
      <c r="B144" s="6" t="s">
        <v>180</v>
      </c>
      <c r="C144" s="6">
        <v>100.0</v>
      </c>
      <c r="D144" s="6" t="s">
        <v>26</v>
      </c>
      <c r="E144" s="6">
        <v>26.4208333333333</v>
      </c>
      <c r="F144" s="6">
        <v>100.0</v>
      </c>
      <c r="G144" s="6">
        <f t="shared" si="2"/>
        <v>26.42083333</v>
      </c>
      <c r="H144" s="6">
        <v>14413.5181795973</v>
      </c>
      <c r="I144" s="6">
        <v>550.137096488856</v>
      </c>
      <c r="J144" s="6">
        <v>450.87441653157</v>
      </c>
      <c r="K144" s="6">
        <v>15414.52969261773</v>
      </c>
      <c r="L144" s="6">
        <f t="shared" si="3"/>
        <v>0.001714021372</v>
      </c>
      <c r="M144" s="6">
        <f t="shared" si="4"/>
        <v>0.001714021372</v>
      </c>
      <c r="N144" s="6">
        <f t="shared" si="5"/>
        <v>0.001833059285</v>
      </c>
      <c r="O144" s="6">
        <f t="shared" si="6"/>
        <v>0.04802590755</v>
      </c>
      <c r="P144" s="6">
        <f t="shared" si="7"/>
        <v>0.05859909626</v>
      </c>
      <c r="Q144" s="6">
        <f t="shared" si="8"/>
        <v>0.001833059285</v>
      </c>
      <c r="R144" s="6">
        <f t="shared" si="9"/>
        <v>0.04802590755</v>
      </c>
      <c r="S144" s="6">
        <f t="shared" ref="S144:T144" si="155">G144/J144</f>
        <v>0.05859909626</v>
      </c>
      <c r="T144" s="6">
        <f t="shared" si="155"/>
        <v>0.9350605219</v>
      </c>
      <c r="U144" s="6">
        <f t="shared" si="11"/>
        <v>0.03568951551</v>
      </c>
      <c r="V144" s="6">
        <f t="shared" si="12"/>
        <v>0.02924996257</v>
      </c>
      <c r="W144" s="6">
        <f t="shared" si="13"/>
        <v>583.423297</v>
      </c>
      <c r="X144" s="6">
        <f t="shared" si="14"/>
        <v>583.423297</v>
      </c>
      <c r="Y144" s="6"/>
      <c r="Z144" s="6"/>
    </row>
    <row r="145" ht="15.75" customHeight="1">
      <c r="A145" s="4" t="s">
        <v>230</v>
      </c>
      <c r="B145" s="4" t="s">
        <v>60</v>
      </c>
      <c r="C145" s="4">
        <v>100.0</v>
      </c>
      <c r="D145" s="4" t="s">
        <v>96</v>
      </c>
      <c r="E145" s="4">
        <v>9.92708333333334</v>
      </c>
      <c r="F145" s="4">
        <v>37.0</v>
      </c>
      <c r="G145" s="4">
        <f t="shared" si="2"/>
        <v>3.673020833</v>
      </c>
      <c r="H145" s="4">
        <v>2037.04209080111</v>
      </c>
      <c r="I145" s="4">
        <v>70.2940118996315</v>
      </c>
      <c r="J145" s="4">
        <v>37.3032684140618</v>
      </c>
      <c r="K145" s="4">
        <v>2144.639371114803</v>
      </c>
      <c r="L145" s="4">
        <f t="shared" si="3"/>
        <v>0.004628789095</v>
      </c>
      <c r="M145" s="4">
        <f t="shared" si="4"/>
        <v>0.001712651965</v>
      </c>
      <c r="N145" s="4">
        <f t="shared" si="5"/>
        <v>0.004873283364</v>
      </c>
      <c r="O145" s="4">
        <f t="shared" si="6"/>
        <v>0.1412223184</v>
      </c>
      <c r="P145" s="4">
        <f t="shared" si="7"/>
        <v>0.2661183257</v>
      </c>
      <c r="Q145" s="4">
        <f t="shared" si="8"/>
        <v>0.001803114845</v>
      </c>
      <c r="R145" s="4">
        <f t="shared" si="9"/>
        <v>0.05225225783</v>
      </c>
      <c r="S145" s="4">
        <f t="shared" ref="S145:T145" si="156">G145/J145</f>
        <v>0.09846378051</v>
      </c>
      <c r="T145" s="4">
        <f t="shared" si="156"/>
        <v>0.9498296629</v>
      </c>
      <c r="U145" s="4">
        <f t="shared" si="11"/>
        <v>0.0327766117</v>
      </c>
      <c r="V145" s="4">
        <f t="shared" si="12"/>
        <v>0.01739372545</v>
      </c>
      <c r="W145" s="4">
        <f t="shared" si="13"/>
        <v>216.0392231</v>
      </c>
      <c r="X145" s="4">
        <f t="shared" si="14"/>
        <v>583.8897922</v>
      </c>
      <c r="Y145" s="4"/>
      <c r="Z145" s="4"/>
    </row>
    <row r="146" ht="15.75" customHeight="1">
      <c r="A146" s="3" t="s">
        <v>231</v>
      </c>
      <c r="B146" s="3" t="s">
        <v>80</v>
      </c>
      <c r="C146" s="3">
        <v>37.68</v>
      </c>
      <c r="D146" s="3" t="s">
        <v>71</v>
      </c>
      <c r="E146" s="3">
        <v>6.15942028985507</v>
      </c>
      <c r="F146" s="3">
        <v>45.0</v>
      </c>
      <c r="G146" s="3">
        <f t="shared" si="2"/>
        <v>2.77173913</v>
      </c>
      <c r="H146" s="3">
        <v>1598.07748564158</v>
      </c>
      <c r="I146" s="3">
        <v>33.0244740012753</v>
      </c>
      <c r="J146" s="3">
        <v>28.4645987825754</v>
      </c>
      <c r="K146" s="3">
        <v>1659.566558425431</v>
      </c>
      <c r="L146" s="3">
        <f t="shared" si="3"/>
        <v>0.003711463248</v>
      </c>
      <c r="M146" s="3">
        <f t="shared" si="4"/>
        <v>0.001670158462</v>
      </c>
      <c r="N146" s="3">
        <f t="shared" si="5"/>
        <v>0.003854268861</v>
      </c>
      <c r="O146" s="3">
        <f t="shared" si="6"/>
        <v>0.1865107765</v>
      </c>
      <c r="P146" s="3">
        <f t="shared" si="7"/>
        <v>0.2163887971</v>
      </c>
      <c r="Q146" s="3">
        <f t="shared" si="8"/>
        <v>0.001734420987</v>
      </c>
      <c r="R146" s="3">
        <f t="shared" si="9"/>
        <v>0.08392984943</v>
      </c>
      <c r="S146" s="3">
        <f t="shared" ref="S146:T146" si="157">G146/J146</f>
        <v>0.09737495868</v>
      </c>
      <c r="T146" s="3">
        <f t="shared" si="157"/>
        <v>0.9629487155</v>
      </c>
      <c r="U146" s="3">
        <f t="shared" si="11"/>
        <v>0.01989945738</v>
      </c>
      <c r="V146" s="3">
        <f t="shared" si="12"/>
        <v>0.01715182717</v>
      </c>
      <c r="W146" s="3">
        <f t="shared" si="13"/>
        <v>269.4355118</v>
      </c>
      <c r="X146" s="3">
        <f t="shared" si="14"/>
        <v>598.7455819</v>
      </c>
      <c r="Y146" s="3"/>
      <c r="Z146" s="3"/>
    </row>
    <row r="147" ht="15.75" customHeight="1">
      <c r="A147" s="6" t="s">
        <v>232</v>
      </c>
      <c r="B147" s="6" t="s">
        <v>180</v>
      </c>
      <c r="C147" s="6">
        <v>100.0</v>
      </c>
      <c r="D147" s="6" t="s">
        <v>26</v>
      </c>
      <c r="E147" s="6">
        <v>24.24</v>
      </c>
      <c r="F147" s="6">
        <v>100.0</v>
      </c>
      <c r="G147" s="6">
        <f t="shared" si="2"/>
        <v>24.24</v>
      </c>
      <c r="H147" s="6">
        <v>14413.5181795973</v>
      </c>
      <c r="I147" s="6">
        <v>550.137096488856</v>
      </c>
      <c r="J147" s="6">
        <v>450.87441653157</v>
      </c>
      <c r="K147" s="6">
        <v>15414.52969261773</v>
      </c>
      <c r="L147" s="6">
        <f t="shared" si="3"/>
        <v>0.001572542302</v>
      </c>
      <c r="M147" s="6">
        <f t="shared" si="4"/>
        <v>0.001572542302</v>
      </c>
      <c r="N147" s="6">
        <f t="shared" si="5"/>
        <v>0.001681754565</v>
      </c>
      <c r="O147" s="6">
        <f t="shared" si="6"/>
        <v>0.04406174416</v>
      </c>
      <c r="P147" s="6">
        <f t="shared" si="7"/>
        <v>0.05376219877</v>
      </c>
      <c r="Q147" s="6">
        <f t="shared" si="8"/>
        <v>0.001681754565</v>
      </c>
      <c r="R147" s="6">
        <f t="shared" si="9"/>
        <v>0.04406174416</v>
      </c>
      <c r="S147" s="6">
        <f t="shared" ref="S147:T147" si="158">G147/J147</f>
        <v>0.05376219877</v>
      </c>
      <c r="T147" s="6">
        <f t="shared" si="158"/>
        <v>0.9350605219</v>
      </c>
      <c r="U147" s="6">
        <f t="shared" si="11"/>
        <v>0.03568951551</v>
      </c>
      <c r="V147" s="6">
        <f t="shared" si="12"/>
        <v>0.02924996257</v>
      </c>
      <c r="W147" s="6">
        <f t="shared" si="13"/>
        <v>635.9129411</v>
      </c>
      <c r="X147" s="6">
        <f t="shared" si="14"/>
        <v>635.9129411</v>
      </c>
      <c r="Y147" s="6"/>
      <c r="Z147" s="6"/>
    </row>
    <row r="148" ht="15.75" customHeight="1">
      <c r="A148" s="5" t="s">
        <v>233</v>
      </c>
      <c r="B148" s="5" t="s">
        <v>180</v>
      </c>
      <c r="C148" s="5">
        <v>100.0</v>
      </c>
      <c r="D148" s="5" t="s">
        <v>26</v>
      </c>
      <c r="E148" s="5">
        <v>23.9966666666667</v>
      </c>
      <c r="F148" s="5">
        <v>100.0</v>
      </c>
      <c r="G148" s="5">
        <f t="shared" si="2"/>
        <v>23.99666667</v>
      </c>
      <c r="H148" s="5">
        <v>14413.5181795973</v>
      </c>
      <c r="I148" s="5">
        <v>550.137096488856</v>
      </c>
      <c r="J148" s="5">
        <v>450.87441653157</v>
      </c>
      <c r="K148" s="5">
        <v>15414.52969261773</v>
      </c>
      <c r="L148" s="5">
        <f t="shared" si="3"/>
        <v>0.00155675633</v>
      </c>
      <c r="M148" s="5">
        <f t="shared" si="4"/>
        <v>0.00155675633</v>
      </c>
      <c r="N148" s="5">
        <f t="shared" si="5"/>
        <v>0.001664872266</v>
      </c>
      <c r="O148" s="5">
        <f t="shared" si="6"/>
        <v>0.04361943017</v>
      </c>
      <c r="P148" s="5">
        <f t="shared" si="7"/>
        <v>0.05322250673</v>
      </c>
      <c r="Q148" s="5">
        <f t="shared" si="8"/>
        <v>0.001664872266</v>
      </c>
      <c r="R148" s="5">
        <f t="shared" si="9"/>
        <v>0.04361943017</v>
      </c>
      <c r="S148" s="5">
        <f t="shared" ref="S148:T148" si="159">G148/J148</f>
        <v>0.05322250673</v>
      </c>
      <c r="T148" s="5">
        <f t="shared" si="159"/>
        <v>0.9350605219</v>
      </c>
      <c r="U148" s="5">
        <f t="shared" si="11"/>
        <v>0.03568951551</v>
      </c>
      <c r="V148" s="5">
        <f t="shared" si="12"/>
        <v>0.02924996257</v>
      </c>
      <c r="W148" s="5">
        <f t="shared" si="13"/>
        <v>642.3612874</v>
      </c>
      <c r="X148" s="5">
        <f t="shared" si="14"/>
        <v>642.3612874</v>
      </c>
    </row>
    <row r="149" ht="15.75" customHeight="1">
      <c r="A149" s="4" t="s">
        <v>234</v>
      </c>
      <c r="B149" s="4" t="s">
        <v>125</v>
      </c>
      <c r="C149" s="4">
        <v>49.89</v>
      </c>
      <c r="D149" s="4" t="s">
        <v>71</v>
      </c>
      <c r="E149" s="4">
        <v>6.39721739130435</v>
      </c>
      <c r="F149" s="4">
        <v>45.0</v>
      </c>
      <c r="G149" s="4">
        <f t="shared" si="2"/>
        <v>2.878747826</v>
      </c>
      <c r="H149" s="4">
        <v>1604.50728401433</v>
      </c>
      <c r="I149" s="4">
        <v>164.075871127232</v>
      </c>
      <c r="J149" s="4">
        <v>134.426741585052</v>
      </c>
      <c r="K149" s="4">
        <v>1903.009896726614</v>
      </c>
      <c r="L149" s="4">
        <f t="shared" si="3"/>
        <v>0.003361631173</v>
      </c>
      <c r="M149" s="4">
        <f t="shared" si="4"/>
        <v>0.001512734028</v>
      </c>
      <c r="N149" s="4">
        <f t="shared" si="5"/>
        <v>0.003987029199</v>
      </c>
      <c r="O149" s="4">
        <f t="shared" si="6"/>
        <v>0.0389893855</v>
      </c>
      <c r="P149" s="4">
        <f t="shared" si="7"/>
        <v>0.04758887492</v>
      </c>
      <c r="Q149" s="4">
        <f t="shared" si="8"/>
        <v>0.00179416314</v>
      </c>
      <c r="R149" s="4">
        <f t="shared" si="9"/>
        <v>0.01754522348</v>
      </c>
      <c r="S149" s="4">
        <f t="shared" ref="S149:T149" si="160">G149/J149</f>
        <v>0.02141499371</v>
      </c>
      <c r="T149" s="4">
        <f t="shared" si="160"/>
        <v>0.8431418495</v>
      </c>
      <c r="U149" s="4">
        <f t="shared" si="11"/>
        <v>0.08621913707</v>
      </c>
      <c r="V149" s="4">
        <f t="shared" si="12"/>
        <v>0.07063901339</v>
      </c>
      <c r="W149" s="4">
        <f t="shared" si="13"/>
        <v>297.4746332</v>
      </c>
      <c r="X149" s="4">
        <f t="shared" si="14"/>
        <v>661.0547404</v>
      </c>
      <c r="Y149" s="4"/>
      <c r="Z149" s="4"/>
    </row>
    <row r="150" ht="15.75" customHeight="1">
      <c r="A150" s="5" t="s">
        <v>235</v>
      </c>
      <c r="B150" s="5" t="s">
        <v>180</v>
      </c>
      <c r="C150" s="5">
        <v>100.0</v>
      </c>
      <c r="D150" s="5" t="s">
        <v>26</v>
      </c>
      <c r="E150" s="5">
        <v>22.7145833333333</v>
      </c>
      <c r="F150" s="5">
        <v>100.0</v>
      </c>
      <c r="G150" s="5">
        <f t="shared" si="2"/>
        <v>22.71458333</v>
      </c>
      <c r="H150" s="5">
        <v>14413.5181795973</v>
      </c>
      <c r="I150" s="5">
        <v>550.137096488856</v>
      </c>
      <c r="J150" s="5">
        <v>450.87441653157</v>
      </c>
      <c r="K150" s="5">
        <v>15414.52969261773</v>
      </c>
      <c r="L150" s="5">
        <f t="shared" si="3"/>
        <v>0.001473582638</v>
      </c>
      <c r="M150" s="5">
        <f t="shared" si="4"/>
        <v>0.001473582638</v>
      </c>
      <c r="N150" s="5">
        <f t="shared" si="5"/>
        <v>0.001575922204</v>
      </c>
      <c r="O150" s="5">
        <f t="shared" si="6"/>
        <v>0.04128895048</v>
      </c>
      <c r="P150" s="5">
        <f t="shared" si="7"/>
        <v>0.05037895809</v>
      </c>
      <c r="Q150" s="5">
        <f t="shared" si="8"/>
        <v>0.001575922204</v>
      </c>
      <c r="R150" s="5">
        <f t="shared" si="9"/>
        <v>0.04128895048</v>
      </c>
      <c r="S150" s="5">
        <f t="shared" ref="S150:T150" si="161">G150/J150</f>
        <v>0.05037895809</v>
      </c>
      <c r="T150" s="5">
        <f t="shared" si="161"/>
        <v>0.9350605219</v>
      </c>
      <c r="U150" s="5">
        <f t="shared" si="11"/>
        <v>0.03568951551</v>
      </c>
      <c r="V150" s="5">
        <f t="shared" si="12"/>
        <v>0.02924996257</v>
      </c>
      <c r="W150" s="5">
        <f t="shared" si="13"/>
        <v>678.6182016</v>
      </c>
      <c r="X150" s="5">
        <f t="shared" si="14"/>
        <v>678.6182016</v>
      </c>
    </row>
    <row r="151" ht="15.75" customHeight="1">
      <c r="A151" s="6" t="s">
        <v>236</v>
      </c>
      <c r="B151" s="6" t="s">
        <v>180</v>
      </c>
      <c r="C151" s="6">
        <v>100.0</v>
      </c>
      <c r="D151" s="6" t="s">
        <v>26</v>
      </c>
      <c r="E151" s="6">
        <v>22.2466666666667</v>
      </c>
      <c r="F151" s="6">
        <v>100.0</v>
      </c>
      <c r="G151" s="6">
        <f t="shared" si="2"/>
        <v>22.24666667</v>
      </c>
      <c r="H151" s="6">
        <v>14413.5181795973</v>
      </c>
      <c r="I151" s="6">
        <v>550.137096488856</v>
      </c>
      <c r="J151" s="6">
        <v>450.87441653157</v>
      </c>
      <c r="K151" s="6">
        <v>15414.52969261773</v>
      </c>
      <c r="L151" s="6">
        <f t="shared" si="3"/>
        <v>0.001443227079</v>
      </c>
      <c r="M151" s="6">
        <f t="shared" si="4"/>
        <v>0.001443227079</v>
      </c>
      <c r="N151" s="6">
        <f t="shared" si="5"/>
        <v>0.001543458467</v>
      </c>
      <c r="O151" s="6">
        <f t="shared" si="6"/>
        <v>0.04043840492</v>
      </c>
      <c r="P151" s="6">
        <f t="shared" si="7"/>
        <v>0.04934115987</v>
      </c>
      <c r="Q151" s="6">
        <f t="shared" si="8"/>
        <v>0.001543458467</v>
      </c>
      <c r="R151" s="6">
        <f t="shared" si="9"/>
        <v>0.04043840492</v>
      </c>
      <c r="S151" s="6">
        <f t="shared" ref="S151:T151" si="162">G151/J151</f>
        <v>0.04934115987</v>
      </c>
      <c r="T151" s="6">
        <f t="shared" si="162"/>
        <v>0.9350605219</v>
      </c>
      <c r="U151" s="6">
        <f t="shared" si="11"/>
        <v>0.03568951551</v>
      </c>
      <c r="V151" s="6">
        <f t="shared" si="12"/>
        <v>0.02924996257</v>
      </c>
      <c r="W151" s="6">
        <f t="shared" si="13"/>
        <v>692.8916553</v>
      </c>
      <c r="X151" s="6">
        <f t="shared" si="14"/>
        <v>692.8916553</v>
      </c>
      <c r="Y151" s="6"/>
      <c r="Z151" s="6"/>
    </row>
    <row r="152" ht="15.75" customHeight="1">
      <c r="A152" s="3" t="s">
        <v>237</v>
      </c>
      <c r="B152" s="3" t="s">
        <v>83</v>
      </c>
      <c r="C152" s="3">
        <v>100.0</v>
      </c>
      <c r="D152" s="3" t="s">
        <v>71</v>
      </c>
      <c r="E152" s="3">
        <v>10.3208</v>
      </c>
      <c r="F152" s="3">
        <v>45.0</v>
      </c>
      <c r="G152" s="3">
        <f t="shared" si="2"/>
        <v>4.64436</v>
      </c>
      <c r="H152" s="3">
        <v>2592.13924719903</v>
      </c>
      <c r="I152" s="3">
        <v>243.77320540362</v>
      </c>
      <c r="J152" s="3">
        <v>428.64684369579</v>
      </c>
      <c r="K152" s="3">
        <v>3264.55929629844</v>
      </c>
      <c r="L152" s="3">
        <f t="shared" si="3"/>
        <v>0.003161468077</v>
      </c>
      <c r="M152" s="3">
        <f t="shared" si="4"/>
        <v>0.001422660635</v>
      </c>
      <c r="N152" s="3">
        <f t="shared" si="5"/>
        <v>0.003981576226</v>
      </c>
      <c r="O152" s="3">
        <f t="shared" si="6"/>
        <v>0.04233771297</v>
      </c>
      <c r="P152" s="3">
        <f t="shared" si="7"/>
        <v>0.02407762976</v>
      </c>
      <c r="Q152" s="3">
        <f t="shared" si="8"/>
        <v>0.001791709302</v>
      </c>
      <c r="R152" s="3">
        <f t="shared" si="9"/>
        <v>0.01905197084</v>
      </c>
      <c r="S152" s="3">
        <f t="shared" ref="S152:T152" si="163">G152/J152</f>
        <v>0.01083493339</v>
      </c>
      <c r="T152" s="3">
        <f t="shared" si="163"/>
        <v>0.7940242501</v>
      </c>
      <c r="U152" s="3">
        <f t="shared" si="11"/>
        <v>0.07467262294</v>
      </c>
      <c r="V152" s="3">
        <f t="shared" si="12"/>
        <v>0.1313031269</v>
      </c>
      <c r="W152" s="3">
        <f t="shared" si="13"/>
        <v>316.3087451</v>
      </c>
      <c r="X152" s="3">
        <f t="shared" si="14"/>
        <v>702.9083224</v>
      </c>
      <c r="Y152" s="3"/>
      <c r="Z152" s="3"/>
    </row>
    <row r="153" ht="15.75" customHeight="1">
      <c r="A153" s="5" t="s">
        <v>238</v>
      </c>
      <c r="B153" s="5" t="s">
        <v>239</v>
      </c>
      <c r="C153" s="5">
        <v>72.94</v>
      </c>
      <c r="D153" s="5" t="s">
        <v>44</v>
      </c>
      <c r="E153" s="5">
        <v>13.9708005027771</v>
      </c>
      <c r="F153" s="5">
        <v>50.0</v>
      </c>
      <c r="G153" s="5">
        <f t="shared" si="2"/>
        <v>6.985400251</v>
      </c>
      <c r="H153" s="5">
        <v>2805.48485578017</v>
      </c>
      <c r="I153" s="5">
        <v>1299.05094279568</v>
      </c>
      <c r="J153" s="5">
        <v>813.853373767228</v>
      </c>
      <c r="K153" s="5">
        <v>4918.389172343078</v>
      </c>
      <c r="L153" s="5">
        <f t="shared" si="3"/>
        <v>0.002840523597</v>
      </c>
      <c r="M153" s="5">
        <f t="shared" si="4"/>
        <v>0.001420261798</v>
      </c>
      <c r="N153" s="5">
        <f t="shared" si="5"/>
        <v>0.004979816759</v>
      </c>
      <c r="O153" s="5">
        <f t="shared" si="6"/>
        <v>0.01075462096</v>
      </c>
      <c r="P153" s="5">
        <f t="shared" si="7"/>
        <v>0.01716623774</v>
      </c>
      <c r="Q153" s="5">
        <f t="shared" si="8"/>
        <v>0.00248990838</v>
      </c>
      <c r="R153" s="5">
        <f t="shared" si="9"/>
        <v>0.005377310482</v>
      </c>
      <c r="S153" s="5">
        <f t="shared" ref="S153:T153" si="164">G153/J153</f>
        <v>0.008583118872</v>
      </c>
      <c r="T153" s="5">
        <f t="shared" si="164"/>
        <v>0.5704072528</v>
      </c>
      <c r="U153" s="5">
        <f t="shared" si="11"/>
        <v>0.2641212188</v>
      </c>
      <c r="V153" s="5">
        <f t="shared" si="12"/>
        <v>0.1654715284</v>
      </c>
      <c r="W153" s="5">
        <f t="shared" si="13"/>
        <v>352.0477707</v>
      </c>
      <c r="X153" s="5">
        <f t="shared" si="14"/>
        <v>704.0955415</v>
      </c>
    </row>
    <row r="154" ht="15.75" customHeight="1">
      <c r="A154" s="5" t="s">
        <v>240</v>
      </c>
      <c r="B154" s="5" t="s">
        <v>180</v>
      </c>
      <c r="C154" s="5">
        <v>100.0</v>
      </c>
      <c r="D154" s="5" t="s">
        <v>26</v>
      </c>
      <c r="E154" s="5">
        <v>21.7233333333333</v>
      </c>
      <c r="F154" s="5">
        <v>100.0</v>
      </c>
      <c r="G154" s="5">
        <f t="shared" si="2"/>
        <v>21.72333333</v>
      </c>
      <c r="H154" s="5">
        <v>14413.5181795973</v>
      </c>
      <c r="I154" s="5">
        <v>550.137096488856</v>
      </c>
      <c r="J154" s="5">
        <v>450.87441653157</v>
      </c>
      <c r="K154" s="5">
        <v>15414.52969261773</v>
      </c>
      <c r="L154" s="5">
        <f t="shared" si="3"/>
        <v>0.001409276427</v>
      </c>
      <c r="M154" s="5">
        <f t="shared" si="4"/>
        <v>0.001409276427</v>
      </c>
      <c r="N154" s="5">
        <f t="shared" si="5"/>
        <v>0.001507149959</v>
      </c>
      <c r="O154" s="5">
        <f t="shared" si="6"/>
        <v>0.03948712689</v>
      </c>
      <c r="P154" s="5">
        <f t="shared" si="7"/>
        <v>0.04818045233</v>
      </c>
      <c r="Q154" s="5">
        <f t="shared" si="8"/>
        <v>0.001507149959</v>
      </c>
      <c r="R154" s="5">
        <f t="shared" si="9"/>
        <v>0.03948712689</v>
      </c>
      <c r="S154" s="5">
        <f t="shared" ref="S154:T154" si="165">G154/J154</f>
        <v>0.04818045233</v>
      </c>
      <c r="T154" s="5">
        <f t="shared" si="165"/>
        <v>0.9350605219</v>
      </c>
      <c r="U154" s="5">
        <f t="shared" si="11"/>
        <v>0.03568951551</v>
      </c>
      <c r="V154" s="5">
        <f t="shared" si="12"/>
        <v>0.02924996257</v>
      </c>
      <c r="W154" s="5">
        <f t="shared" si="13"/>
        <v>709.5839969</v>
      </c>
      <c r="X154" s="5">
        <f t="shared" si="14"/>
        <v>709.5839969</v>
      </c>
    </row>
    <row r="155" ht="15.75" customHeight="1">
      <c r="A155" s="6" t="s">
        <v>241</v>
      </c>
      <c r="B155" s="6" t="s">
        <v>180</v>
      </c>
      <c r="C155" s="6">
        <v>100.0</v>
      </c>
      <c r="D155" s="6" t="s">
        <v>26</v>
      </c>
      <c r="E155" s="6">
        <v>21.64</v>
      </c>
      <c r="F155" s="6">
        <v>100.0</v>
      </c>
      <c r="G155" s="6">
        <f t="shared" si="2"/>
        <v>21.64</v>
      </c>
      <c r="H155" s="6">
        <v>14413.5181795973</v>
      </c>
      <c r="I155" s="6">
        <v>550.137096488856</v>
      </c>
      <c r="J155" s="6">
        <v>450.87441653157</v>
      </c>
      <c r="K155" s="6">
        <v>15414.52969261773</v>
      </c>
      <c r="L155" s="6">
        <f t="shared" si="3"/>
        <v>0.001403870272</v>
      </c>
      <c r="M155" s="6">
        <f t="shared" si="4"/>
        <v>0.001403870272</v>
      </c>
      <c r="N155" s="6">
        <f t="shared" si="5"/>
        <v>0.00150136835</v>
      </c>
      <c r="O155" s="6">
        <f t="shared" si="6"/>
        <v>0.03933564949</v>
      </c>
      <c r="P155" s="6">
        <f t="shared" si="7"/>
        <v>0.04799562629</v>
      </c>
      <c r="Q155" s="6">
        <f t="shared" si="8"/>
        <v>0.00150136835</v>
      </c>
      <c r="R155" s="6">
        <f t="shared" si="9"/>
        <v>0.03933564949</v>
      </c>
      <c r="S155" s="6">
        <f t="shared" ref="S155:T155" si="166">G155/J155</f>
        <v>0.04799562629</v>
      </c>
      <c r="T155" s="6">
        <f t="shared" si="166"/>
        <v>0.9350605219</v>
      </c>
      <c r="U155" s="6">
        <f t="shared" si="11"/>
        <v>0.03568951551</v>
      </c>
      <c r="V155" s="6">
        <f t="shared" si="12"/>
        <v>0.02924996257</v>
      </c>
      <c r="W155" s="6">
        <f t="shared" si="13"/>
        <v>712.3165292</v>
      </c>
      <c r="X155" s="6">
        <f t="shared" si="14"/>
        <v>712.3165292</v>
      </c>
      <c r="Y155" s="6"/>
      <c r="Z155" s="6"/>
    </row>
    <row r="156" ht="15.75" customHeight="1">
      <c r="A156" s="5" t="s">
        <v>242</v>
      </c>
      <c r="B156" s="5" t="s">
        <v>180</v>
      </c>
      <c r="C156" s="5">
        <v>100.0</v>
      </c>
      <c r="D156" s="5" t="s">
        <v>26</v>
      </c>
      <c r="E156" s="5">
        <v>21.61</v>
      </c>
      <c r="F156" s="5">
        <v>100.0</v>
      </c>
      <c r="G156" s="5">
        <f t="shared" si="2"/>
        <v>21.61</v>
      </c>
      <c r="H156" s="5">
        <v>14413.5181795973</v>
      </c>
      <c r="I156" s="5">
        <v>550.137096488856</v>
      </c>
      <c r="J156" s="5">
        <v>450.87441653157</v>
      </c>
      <c r="K156" s="5">
        <v>15414.52969261773</v>
      </c>
      <c r="L156" s="5">
        <f t="shared" si="3"/>
        <v>0.001401924057</v>
      </c>
      <c r="M156" s="5">
        <f t="shared" si="4"/>
        <v>0.001401924057</v>
      </c>
      <c r="N156" s="5">
        <f t="shared" si="5"/>
        <v>0.00149928697</v>
      </c>
      <c r="O156" s="5">
        <f t="shared" si="6"/>
        <v>0.03928111763</v>
      </c>
      <c r="P156" s="5">
        <f t="shared" si="7"/>
        <v>0.04792908892</v>
      </c>
      <c r="Q156" s="5">
        <f t="shared" si="8"/>
        <v>0.00149928697</v>
      </c>
      <c r="R156" s="5">
        <f t="shared" si="9"/>
        <v>0.03928111763</v>
      </c>
      <c r="S156" s="5">
        <f t="shared" ref="S156:T156" si="167">G156/J156</f>
        <v>0.04792908892</v>
      </c>
      <c r="T156" s="5">
        <f t="shared" si="167"/>
        <v>0.9350605219</v>
      </c>
      <c r="U156" s="5">
        <f t="shared" si="11"/>
        <v>0.03568951551</v>
      </c>
      <c r="V156" s="5">
        <f t="shared" si="12"/>
        <v>0.02924996257</v>
      </c>
      <c r="W156" s="5">
        <f t="shared" si="13"/>
        <v>713.3053999</v>
      </c>
      <c r="X156" s="5">
        <f t="shared" si="14"/>
        <v>713.3053999</v>
      </c>
    </row>
    <row r="157" ht="15.75" customHeight="1">
      <c r="A157" s="5" t="s">
        <v>243</v>
      </c>
      <c r="B157" s="5" t="s">
        <v>180</v>
      </c>
      <c r="C157" s="5">
        <v>100.0</v>
      </c>
      <c r="D157" s="5" t="s">
        <v>26</v>
      </c>
      <c r="E157" s="5">
        <v>21.6</v>
      </c>
      <c r="F157" s="5">
        <v>100.0</v>
      </c>
      <c r="G157" s="5">
        <f t="shared" si="2"/>
        <v>21.6</v>
      </c>
      <c r="H157" s="5">
        <v>14413.5181795973</v>
      </c>
      <c r="I157" s="5">
        <v>550.137096488856</v>
      </c>
      <c r="J157" s="5">
        <v>450.87441653157</v>
      </c>
      <c r="K157" s="5">
        <v>15414.52969261773</v>
      </c>
      <c r="L157" s="5">
        <f t="shared" si="3"/>
        <v>0.001401275318</v>
      </c>
      <c r="M157" s="5">
        <f t="shared" si="4"/>
        <v>0.001401275318</v>
      </c>
      <c r="N157" s="5">
        <f t="shared" si="5"/>
        <v>0.001498593177</v>
      </c>
      <c r="O157" s="5">
        <f t="shared" si="6"/>
        <v>0.03926294034</v>
      </c>
      <c r="P157" s="5">
        <f t="shared" si="7"/>
        <v>0.04790690979</v>
      </c>
      <c r="Q157" s="5">
        <f t="shared" si="8"/>
        <v>0.001498593177</v>
      </c>
      <c r="R157" s="5">
        <f t="shared" si="9"/>
        <v>0.03926294034</v>
      </c>
      <c r="S157" s="5">
        <f t="shared" ref="S157:T157" si="168">G157/J157</f>
        <v>0.04790690979</v>
      </c>
      <c r="T157" s="5">
        <f t="shared" si="168"/>
        <v>0.9350605219</v>
      </c>
      <c r="U157" s="5">
        <f t="shared" si="11"/>
        <v>0.03568951551</v>
      </c>
      <c r="V157" s="5">
        <f t="shared" si="12"/>
        <v>0.02924996257</v>
      </c>
      <c r="W157" s="5">
        <f t="shared" si="13"/>
        <v>713.6356339</v>
      </c>
      <c r="X157" s="5">
        <f t="shared" si="14"/>
        <v>713.6356339</v>
      </c>
    </row>
    <row r="158" ht="15.75" customHeight="1">
      <c r="A158" s="5" t="s">
        <v>244</v>
      </c>
      <c r="B158" s="5" t="s">
        <v>180</v>
      </c>
      <c r="C158" s="5">
        <v>100.0</v>
      </c>
      <c r="D158" s="5" t="s">
        <v>26</v>
      </c>
      <c r="E158" s="5">
        <v>21.56</v>
      </c>
      <c r="F158" s="5">
        <v>100.0</v>
      </c>
      <c r="G158" s="5">
        <f t="shared" si="2"/>
        <v>21.56</v>
      </c>
      <c r="H158" s="5">
        <v>14413.5181795973</v>
      </c>
      <c r="I158" s="5">
        <v>550.137096488856</v>
      </c>
      <c r="J158" s="5">
        <v>450.87441653157</v>
      </c>
      <c r="K158" s="5">
        <v>15414.52969261773</v>
      </c>
      <c r="L158" s="5">
        <f t="shared" si="3"/>
        <v>0.001398680364</v>
      </c>
      <c r="M158" s="5">
        <f t="shared" si="4"/>
        <v>0.001398680364</v>
      </c>
      <c r="N158" s="5">
        <f t="shared" si="5"/>
        <v>0.001495818004</v>
      </c>
      <c r="O158" s="5">
        <f t="shared" si="6"/>
        <v>0.03919023119</v>
      </c>
      <c r="P158" s="5">
        <f t="shared" si="7"/>
        <v>0.04781819329</v>
      </c>
      <c r="Q158" s="5">
        <f t="shared" si="8"/>
        <v>0.001495818004</v>
      </c>
      <c r="R158" s="5">
        <f t="shared" si="9"/>
        <v>0.03919023119</v>
      </c>
      <c r="S158" s="5">
        <f t="shared" ref="S158:T158" si="169">G158/J158</f>
        <v>0.04781819329</v>
      </c>
      <c r="T158" s="5">
        <f t="shared" si="169"/>
        <v>0.9350605219</v>
      </c>
      <c r="U158" s="5">
        <f t="shared" si="11"/>
        <v>0.03568951551</v>
      </c>
      <c r="V158" s="5">
        <f t="shared" si="12"/>
        <v>0.02924996257</v>
      </c>
      <c r="W158" s="5">
        <f t="shared" si="13"/>
        <v>714.9596332</v>
      </c>
      <c r="X158" s="5">
        <f t="shared" si="14"/>
        <v>714.9596332</v>
      </c>
    </row>
    <row r="159" ht="15.75" customHeight="1">
      <c r="A159" s="5" t="s">
        <v>245</v>
      </c>
      <c r="B159" s="5" t="s">
        <v>180</v>
      </c>
      <c r="C159" s="5">
        <v>100.0</v>
      </c>
      <c r="D159" s="5" t="s">
        <v>26</v>
      </c>
      <c r="E159" s="5">
        <v>21.54</v>
      </c>
      <c r="F159" s="5">
        <v>100.0</v>
      </c>
      <c r="G159" s="5">
        <f t="shared" si="2"/>
        <v>21.54</v>
      </c>
      <c r="H159" s="5">
        <v>14413.5181795973</v>
      </c>
      <c r="I159" s="5">
        <v>550.137096488856</v>
      </c>
      <c r="J159" s="5">
        <v>450.87441653157</v>
      </c>
      <c r="K159" s="5">
        <v>15414.52969261773</v>
      </c>
      <c r="L159" s="5">
        <f t="shared" si="3"/>
        <v>0.001397382887</v>
      </c>
      <c r="M159" s="5">
        <f t="shared" si="4"/>
        <v>0.001397382887</v>
      </c>
      <c r="N159" s="5">
        <f t="shared" si="5"/>
        <v>0.001494430418</v>
      </c>
      <c r="O159" s="5">
        <f t="shared" si="6"/>
        <v>0.03915387662</v>
      </c>
      <c r="P159" s="5">
        <f t="shared" si="7"/>
        <v>0.04777383504</v>
      </c>
      <c r="Q159" s="5">
        <f t="shared" si="8"/>
        <v>0.001494430418</v>
      </c>
      <c r="R159" s="5">
        <f t="shared" si="9"/>
        <v>0.03915387662</v>
      </c>
      <c r="S159" s="5">
        <f t="shared" ref="S159:T159" si="170">G159/J159</f>
        <v>0.04777383504</v>
      </c>
      <c r="T159" s="5">
        <f t="shared" si="170"/>
        <v>0.9350605219</v>
      </c>
      <c r="U159" s="5">
        <f t="shared" si="11"/>
        <v>0.03568951551</v>
      </c>
      <c r="V159" s="5">
        <f t="shared" si="12"/>
        <v>0.02924996257</v>
      </c>
      <c r="W159" s="5">
        <f t="shared" si="13"/>
        <v>715.6234769</v>
      </c>
      <c r="X159" s="5">
        <f t="shared" si="14"/>
        <v>715.6234769</v>
      </c>
    </row>
    <row r="160" ht="15.75" customHeight="1">
      <c r="A160" s="5" t="s">
        <v>246</v>
      </c>
      <c r="B160" s="5" t="s">
        <v>180</v>
      </c>
      <c r="C160" s="5">
        <v>100.0</v>
      </c>
      <c r="D160" s="5" t="s">
        <v>26</v>
      </c>
      <c r="E160" s="5">
        <v>21.5133333333333</v>
      </c>
      <c r="F160" s="5">
        <v>100.0</v>
      </c>
      <c r="G160" s="5">
        <f t="shared" si="2"/>
        <v>21.51333333</v>
      </c>
      <c r="H160" s="5">
        <v>14413.5181795973</v>
      </c>
      <c r="I160" s="5">
        <v>550.137096488856</v>
      </c>
      <c r="J160" s="5">
        <v>450.87441653157</v>
      </c>
      <c r="K160" s="5">
        <v>15414.52969261773</v>
      </c>
      <c r="L160" s="5">
        <f t="shared" si="3"/>
        <v>0.001395652917</v>
      </c>
      <c r="M160" s="5">
        <f t="shared" si="4"/>
        <v>0.001395652917</v>
      </c>
      <c r="N160" s="5">
        <f t="shared" si="5"/>
        <v>0.001492580303</v>
      </c>
      <c r="O160" s="5">
        <f t="shared" si="6"/>
        <v>0.03910540385</v>
      </c>
      <c r="P160" s="5">
        <f t="shared" si="7"/>
        <v>0.04771469071</v>
      </c>
      <c r="Q160" s="5">
        <f t="shared" si="8"/>
        <v>0.001492580303</v>
      </c>
      <c r="R160" s="5">
        <f t="shared" si="9"/>
        <v>0.03910540385</v>
      </c>
      <c r="S160" s="5">
        <f t="shared" ref="S160:T160" si="171">G160/J160</f>
        <v>0.04771469071</v>
      </c>
      <c r="T160" s="5">
        <f t="shared" si="171"/>
        <v>0.9350605219</v>
      </c>
      <c r="U160" s="5">
        <f t="shared" si="11"/>
        <v>0.03568951551</v>
      </c>
      <c r="V160" s="5">
        <f t="shared" si="12"/>
        <v>0.02924996257</v>
      </c>
      <c r="W160" s="5">
        <f t="shared" si="13"/>
        <v>716.5105218</v>
      </c>
      <c r="X160" s="5">
        <f t="shared" si="14"/>
        <v>716.5105218</v>
      </c>
    </row>
    <row r="161" ht="15.75" customHeight="1">
      <c r="A161" s="5" t="s">
        <v>247</v>
      </c>
      <c r="B161" s="5" t="s">
        <v>180</v>
      </c>
      <c r="C161" s="5">
        <v>100.0</v>
      </c>
      <c r="D161" s="5" t="s">
        <v>26</v>
      </c>
      <c r="E161" s="5">
        <v>21.41</v>
      </c>
      <c r="F161" s="5">
        <v>100.0</v>
      </c>
      <c r="G161" s="5">
        <f t="shared" si="2"/>
        <v>21.41</v>
      </c>
      <c r="H161" s="5">
        <v>14413.5181795973</v>
      </c>
      <c r="I161" s="5">
        <v>550.137096488856</v>
      </c>
      <c r="J161" s="5">
        <v>450.87441653157</v>
      </c>
      <c r="K161" s="5">
        <v>15414.52969261773</v>
      </c>
      <c r="L161" s="5">
        <f t="shared" si="3"/>
        <v>0.001388949285</v>
      </c>
      <c r="M161" s="5">
        <f t="shared" si="4"/>
        <v>0.001388949285</v>
      </c>
      <c r="N161" s="5">
        <f t="shared" si="5"/>
        <v>0.001485411107</v>
      </c>
      <c r="O161" s="5">
        <f t="shared" si="6"/>
        <v>0.03891757189</v>
      </c>
      <c r="P161" s="5">
        <f t="shared" si="7"/>
        <v>0.04748550642</v>
      </c>
      <c r="Q161" s="5">
        <f t="shared" si="8"/>
        <v>0.001485411107</v>
      </c>
      <c r="R161" s="5">
        <f t="shared" si="9"/>
        <v>0.03891757189</v>
      </c>
      <c r="S161" s="5">
        <f t="shared" ref="S161:T161" si="172">G161/J161</f>
        <v>0.04748550642</v>
      </c>
      <c r="T161" s="5">
        <f t="shared" si="172"/>
        <v>0.9350605219</v>
      </c>
      <c r="U161" s="5">
        <f t="shared" si="11"/>
        <v>0.03568951551</v>
      </c>
      <c r="V161" s="5">
        <f t="shared" si="12"/>
        <v>0.02924996257</v>
      </c>
      <c r="W161" s="5">
        <f t="shared" si="13"/>
        <v>719.9686919</v>
      </c>
      <c r="X161" s="5">
        <f t="shared" si="14"/>
        <v>719.9686919</v>
      </c>
    </row>
    <row r="162" ht="15.75" customHeight="1">
      <c r="A162" s="6" t="s">
        <v>248</v>
      </c>
      <c r="B162" s="6" t="s">
        <v>180</v>
      </c>
      <c r="C162" s="6">
        <v>100.0</v>
      </c>
      <c r="D162" s="6" t="s">
        <v>26</v>
      </c>
      <c r="E162" s="6">
        <v>21.3666666666667</v>
      </c>
      <c r="F162" s="6">
        <v>100.0</v>
      </c>
      <c r="G162" s="6">
        <f t="shared" si="2"/>
        <v>21.36666667</v>
      </c>
      <c r="H162" s="6">
        <v>14413.5181795973</v>
      </c>
      <c r="I162" s="6">
        <v>550.137096488856</v>
      </c>
      <c r="J162" s="6">
        <v>450.87441653157</v>
      </c>
      <c r="K162" s="6">
        <v>15414.52969261773</v>
      </c>
      <c r="L162" s="6">
        <f t="shared" si="3"/>
        <v>0.001386138085</v>
      </c>
      <c r="M162" s="6">
        <f t="shared" si="4"/>
        <v>0.001386138085</v>
      </c>
      <c r="N162" s="6">
        <f t="shared" si="5"/>
        <v>0.00148240467</v>
      </c>
      <c r="O162" s="6">
        <f t="shared" si="6"/>
        <v>0.03883880364</v>
      </c>
      <c r="P162" s="6">
        <f t="shared" si="7"/>
        <v>0.04738939688</v>
      </c>
      <c r="Q162" s="6">
        <f t="shared" si="8"/>
        <v>0.00148240467</v>
      </c>
      <c r="R162" s="6">
        <f t="shared" si="9"/>
        <v>0.03883880364</v>
      </c>
      <c r="S162" s="6">
        <f t="shared" ref="S162:T162" si="173">G162/J162</f>
        <v>0.04738939688</v>
      </c>
      <c r="T162" s="6">
        <f t="shared" si="173"/>
        <v>0.9350605219</v>
      </c>
      <c r="U162" s="6">
        <f t="shared" si="11"/>
        <v>0.03568951551</v>
      </c>
      <c r="V162" s="6">
        <f t="shared" si="12"/>
        <v>0.02924996257</v>
      </c>
      <c r="W162" s="6">
        <f t="shared" si="13"/>
        <v>721.4288468</v>
      </c>
      <c r="X162" s="6">
        <f t="shared" si="14"/>
        <v>721.4288468</v>
      </c>
      <c r="Y162" s="6"/>
      <c r="Z162" s="6"/>
    </row>
    <row r="163" ht="15.75" customHeight="1">
      <c r="A163" s="5" t="s">
        <v>249</v>
      </c>
      <c r="B163" s="5" t="s">
        <v>180</v>
      </c>
      <c r="C163" s="5">
        <v>100.0</v>
      </c>
      <c r="D163" s="5" t="s">
        <v>26</v>
      </c>
      <c r="E163" s="5">
        <v>21.25</v>
      </c>
      <c r="F163" s="5">
        <v>100.0</v>
      </c>
      <c r="G163" s="5">
        <f t="shared" si="2"/>
        <v>21.25</v>
      </c>
      <c r="H163" s="5">
        <v>14413.5181795973</v>
      </c>
      <c r="I163" s="5">
        <v>550.137096488856</v>
      </c>
      <c r="J163" s="5">
        <v>450.87441653157</v>
      </c>
      <c r="K163" s="5">
        <v>15414.52969261773</v>
      </c>
      <c r="L163" s="5">
        <f t="shared" si="3"/>
        <v>0.001378569468</v>
      </c>
      <c r="M163" s="5">
        <f t="shared" si="4"/>
        <v>0.001378569468</v>
      </c>
      <c r="N163" s="5">
        <f t="shared" si="5"/>
        <v>0.001474310417</v>
      </c>
      <c r="O163" s="5">
        <f t="shared" si="6"/>
        <v>0.03862673529</v>
      </c>
      <c r="P163" s="5">
        <f t="shared" si="7"/>
        <v>0.04713064042</v>
      </c>
      <c r="Q163" s="5">
        <f t="shared" si="8"/>
        <v>0.001474310417</v>
      </c>
      <c r="R163" s="5">
        <f t="shared" si="9"/>
        <v>0.03862673529</v>
      </c>
      <c r="S163" s="5">
        <f t="shared" ref="S163:T163" si="174">G163/J163</f>
        <v>0.04713064042</v>
      </c>
      <c r="T163" s="5">
        <f t="shared" si="174"/>
        <v>0.9350605219</v>
      </c>
      <c r="U163" s="5">
        <f t="shared" si="11"/>
        <v>0.03568951551</v>
      </c>
      <c r="V163" s="5">
        <f t="shared" si="12"/>
        <v>0.02924996257</v>
      </c>
      <c r="W163" s="5">
        <f t="shared" si="13"/>
        <v>725.3896326</v>
      </c>
      <c r="X163" s="5">
        <f t="shared" si="14"/>
        <v>725.3896326</v>
      </c>
    </row>
    <row r="164" ht="15.75" customHeight="1">
      <c r="A164" s="5" t="s">
        <v>250</v>
      </c>
      <c r="B164" s="5" t="s">
        <v>180</v>
      </c>
      <c r="C164" s="5">
        <v>100.0</v>
      </c>
      <c r="D164" s="5" t="s">
        <v>26</v>
      </c>
      <c r="E164" s="5">
        <v>21.23</v>
      </c>
      <c r="F164" s="5">
        <v>100.0</v>
      </c>
      <c r="G164" s="5">
        <f t="shared" si="2"/>
        <v>21.23</v>
      </c>
      <c r="H164" s="5">
        <v>14413.5181795973</v>
      </c>
      <c r="I164" s="5">
        <v>550.137096488856</v>
      </c>
      <c r="J164" s="5">
        <v>450.87441653157</v>
      </c>
      <c r="K164" s="5">
        <v>15414.52969261773</v>
      </c>
      <c r="L164" s="5">
        <f t="shared" si="3"/>
        <v>0.001377271991</v>
      </c>
      <c r="M164" s="5">
        <f t="shared" si="4"/>
        <v>0.001377271991</v>
      </c>
      <c r="N164" s="5">
        <f t="shared" si="5"/>
        <v>0.001472922831</v>
      </c>
      <c r="O164" s="5">
        <f t="shared" si="6"/>
        <v>0.03859038072</v>
      </c>
      <c r="P164" s="5">
        <f t="shared" si="7"/>
        <v>0.04708628217</v>
      </c>
      <c r="Q164" s="5">
        <f t="shared" si="8"/>
        <v>0.001472922831</v>
      </c>
      <c r="R164" s="5">
        <f t="shared" si="9"/>
        <v>0.03859038072</v>
      </c>
      <c r="S164" s="5">
        <f t="shared" ref="S164:T164" si="175">G164/J164</f>
        <v>0.04708628217</v>
      </c>
      <c r="T164" s="5">
        <f t="shared" si="175"/>
        <v>0.9350605219</v>
      </c>
      <c r="U164" s="5">
        <f t="shared" si="11"/>
        <v>0.03568951551</v>
      </c>
      <c r="V164" s="5">
        <f t="shared" si="12"/>
        <v>0.02924996257</v>
      </c>
      <c r="W164" s="5">
        <f t="shared" si="13"/>
        <v>726.0729954</v>
      </c>
      <c r="X164" s="5">
        <f t="shared" si="14"/>
        <v>726.0729954</v>
      </c>
    </row>
    <row r="165" ht="15.75" customHeight="1">
      <c r="A165" s="5" t="s">
        <v>251</v>
      </c>
      <c r="B165" s="5" t="s">
        <v>180</v>
      </c>
      <c r="C165" s="5">
        <v>100.0</v>
      </c>
      <c r="D165" s="5" t="s">
        <v>26</v>
      </c>
      <c r="E165" s="5">
        <v>21.15</v>
      </c>
      <c r="F165" s="5">
        <v>100.0</v>
      </c>
      <c r="G165" s="5">
        <f t="shared" si="2"/>
        <v>21.15</v>
      </c>
      <c r="H165" s="5">
        <v>14413.5181795973</v>
      </c>
      <c r="I165" s="5">
        <v>550.137096488856</v>
      </c>
      <c r="J165" s="5">
        <v>450.87441653157</v>
      </c>
      <c r="K165" s="5">
        <v>15414.52969261773</v>
      </c>
      <c r="L165" s="5">
        <f t="shared" si="3"/>
        <v>0.001372082082</v>
      </c>
      <c r="M165" s="5">
        <f t="shared" si="4"/>
        <v>0.001372082082</v>
      </c>
      <c r="N165" s="5">
        <f t="shared" si="5"/>
        <v>0.001467372486</v>
      </c>
      <c r="O165" s="5">
        <f t="shared" si="6"/>
        <v>0.03844496242</v>
      </c>
      <c r="P165" s="5">
        <f t="shared" si="7"/>
        <v>0.04690884917</v>
      </c>
      <c r="Q165" s="5">
        <f t="shared" si="8"/>
        <v>0.001467372486</v>
      </c>
      <c r="R165" s="5">
        <f t="shared" si="9"/>
        <v>0.03844496242</v>
      </c>
      <c r="S165" s="5">
        <f t="shared" ref="S165:T165" si="176">G165/J165</f>
        <v>0.04690884917</v>
      </c>
      <c r="T165" s="5">
        <f t="shared" si="176"/>
        <v>0.9350605219</v>
      </c>
      <c r="U165" s="5">
        <f t="shared" si="11"/>
        <v>0.03568951551</v>
      </c>
      <c r="V165" s="5">
        <f t="shared" si="12"/>
        <v>0.02924996257</v>
      </c>
      <c r="W165" s="5">
        <f t="shared" si="13"/>
        <v>728.8193708</v>
      </c>
      <c r="X165" s="5">
        <f t="shared" si="14"/>
        <v>728.8193708</v>
      </c>
    </row>
    <row r="166" ht="15.75" customHeight="1">
      <c r="A166" s="5" t="s">
        <v>252</v>
      </c>
      <c r="B166" s="5" t="s">
        <v>180</v>
      </c>
      <c r="C166" s="5">
        <v>100.0</v>
      </c>
      <c r="D166" s="5" t="s">
        <v>26</v>
      </c>
      <c r="E166" s="5">
        <v>21.03</v>
      </c>
      <c r="F166" s="5">
        <v>100.0</v>
      </c>
      <c r="G166" s="5">
        <f t="shared" si="2"/>
        <v>21.03</v>
      </c>
      <c r="H166" s="5">
        <v>14413.5181795973</v>
      </c>
      <c r="I166" s="5">
        <v>550.137096488856</v>
      </c>
      <c r="J166" s="5">
        <v>450.87441653157</v>
      </c>
      <c r="K166" s="5">
        <v>15414.52969261773</v>
      </c>
      <c r="L166" s="5">
        <f t="shared" si="3"/>
        <v>0.00136429722</v>
      </c>
      <c r="M166" s="5">
        <f t="shared" si="4"/>
        <v>0.00136429722</v>
      </c>
      <c r="N166" s="5">
        <f t="shared" si="5"/>
        <v>0.001459046968</v>
      </c>
      <c r="O166" s="5">
        <f t="shared" si="6"/>
        <v>0.03822683497</v>
      </c>
      <c r="P166" s="5">
        <f t="shared" si="7"/>
        <v>0.04664269967</v>
      </c>
      <c r="Q166" s="5">
        <f t="shared" si="8"/>
        <v>0.001459046968</v>
      </c>
      <c r="R166" s="5">
        <f t="shared" si="9"/>
        <v>0.03822683497</v>
      </c>
      <c r="S166" s="5">
        <f t="shared" ref="S166:T166" si="177">G166/J166</f>
        <v>0.04664269967</v>
      </c>
      <c r="T166" s="5">
        <f t="shared" si="177"/>
        <v>0.9350605219</v>
      </c>
      <c r="U166" s="5">
        <f t="shared" si="11"/>
        <v>0.03568951551</v>
      </c>
      <c r="V166" s="5">
        <f t="shared" si="12"/>
        <v>0.02924996257</v>
      </c>
      <c r="W166" s="5">
        <f t="shared" si="13"/>
        <v>732.9781119</v>
      </c>
      <c r="X166" s="5">
        <f t="shared" si="14"/>
        <v>732.9781119</v>
      </c>
    </row>
    <row r="167" ht="15.75" customHeight="1">
      <c r="A167" s="5" t="s">
        <v>253</v>
      </c>
      <c r="B167" s="5" t="s">
        <v>180</v>
      </c>
      <c r="C167" s="5">
        <v>100.0</v>
      </c>
      <c r="D167" s="5" t="s">
        <v>26</v>
      </c>
      <c r="E167" s="5">
        <v>20.9333333333333</v>
      </c>
      <c r="F167" s="5">
        <v>100.0</v>
      </c>
      <c r="G167" s="5">
        <f t="shared" si="2"/>
        <v>20.93333333</v>
      </c>
      <c r="H167" s="5">
        <v>14413.5181795973</v>
      </c>
      <c r="I167" s="5">
        <v>550.137096488856</v>
      </c>
      <c r="J167" s="5">
        <v>450.87441653157</v>
      </c>
      <c r="K167" s="5">
        <v>15414.52969261773</v>
      </c>
      <c r="L167" s="5">
        <f t="shared" si="3"/>
        <v>0.00135802608</v>
      </c>
      <c r="M167" s="5">
        <f t="shared" si="4"/>
        <v>0.00135802608</v>
      </c>
      <c r="N167" s="5">
        <f t="shared" si="5"/>
        <v>0.001452340301</v>
      </c>
      <c r="O167" s="5">
        <f t="shared" si="6"/>
        <v>0.0380511212</v>
      </c>
      <c r="P167" s="5">
        <f t="shared" si="7"/>
        <v>0.04642830146</v>
      </c>
      <c r="Q167" s="5">
        <f t="shared" si="8"/>
        <v>0.001452340301</v>
      </c>
      <c r="R167" s="5">
        <f t="shared" si="9"/>
        <v>0.0380511212</v>
      </c>
      <c r="S167" s="5">
        <f t="shared" ref="S167:T167" si="178">G167/J167</f>
        <v>0.04642830146</v>
      </c>
      <c r="T167" s="5">
        <f t="shared" si="178"/>
        <v>0.9350605219</v>
      </c>
      <c r="U167" s="5">
        <f t="shared" si="11"/>
        <v>0.03568951551</v>
      </c>
      <c r="V167" s="5">
        <f t="shared" si="12"/>
        <v>0.02924996257</v>
      </c>
      <c r="W167" s="5">
        <f t="shared" si="13"/>
        <v>736.3628834</v>
      </c>
      <c r="X167" s="5">
        <f t="shared" si="14"/>
        <v>736.3628834</v>
      </c>
    </row>
    <row r="168" ht="15.75" customHeight="1">
      <c r="A168" s="5" t="s">
        <v>254</v>
      </c>
      <c r="B168" s="5" t="s">
        <v>180</v>
      </c>
      <c r="C168" s="5">
        <v>100.0</v>
      </c>
      <c r="D168" s="5" t="s">
        <v>26</v>
      </c>
      <c r="E168" s="5">
        <v>20.8166666666667</v>
      </c>
      <c r="F168" s="5">
        <v>100.0</v>
      </c>
      <c r="G168" s="5">
        <f t="shared" si="2"/>
        <v>20.81666667</v>
      </c>
      <c r="H168" s="5">
        <v>14413.5181795973</v>
      </c>
      <c r="I168" s="5">
        <v>550.137096488856</v>
      </c>
      <c r="J168" s="5">
        <v>450.87441653157</v>
      </c>
      <c r="K168" s="5">
        <v>15414.52969261773</v>
      </c>
      <c r="L168" s="5">
        <f t="shared" si="3"/>
        <v>0.001350457463</v>
      </c>
      <c r="M168" s="5">
        <f t="shared" si="4"/>
        <v>0.001350457463</v>
      </c>
      <c r="N168" s="5">
        <f t="shared" si="5"/>
        <v>0.001444246048</v>
      </c>
      <c r="O168" s="5">
        <f t="shared" si="6"/>
        <v>0.03783905285</v>
      </c>
      <c r="P168" s="5">
        <f t="shared" si="7"/>
        <v>0.04616954501</v>
      </c>
      <c r="Q168" s="5">
        <f t="shared" si="8"/>
        <v>0.001444246048</v>
      </c>
      <c r="R168" s="5">
        <f t="shared" si="9"/>
        <v>0.03783905285</v>
      </c>
      <c r="S168" s="5">
        <f t="shared" ref="S168:T168" si="179">G168/J168</f>
        <v>0.04616954501</v>
      </c>
      <c r="T168" s="5">
        <f t="shared" si="179"/>
        <v>0.9350605219</v>
      </c>
      <c r="U168" s="5">
        <f t="shared" si="11"/>
        <v>0.03568951551</v>
      </c>
      <c r="V168" s="5">
        <f t="shared" si="12"/>
        <v>0.02924996257</v>
      </c>
      <c r="W168" s="5">
        <f t="shared" si="13"/>
        <v>740.4898171</v>
      </c>
      <c r="X168" s="5">
        <f t="shared" si="14"/>
        <v>740.4898171</v>
      </c>
    </row>
    <row r="169" ht="15.75" customHeight="1">
      <c r="A169" s="5" t="s">
        <v>255</v>
      </c>
      <c r="B169" s="5" t="s">
        <v>180</v>
      </c>
      <c r="C169" s="5">
        <v>100.0</v>
      </c>
      <c r="D169" s="5" t="s">
        <v>26</v>
      </c>
      <c r="E169" s="5">
        <v>20.7133333333333</v>
      </c>
      <c r="F169" s="5">
        <v>100.0</v>
      </c>
      <c r="G169" s="5">
        <f t="shared" si="2"/>
        <v>20.71333333</v>
      </c>
      <c r="H169" s="5">
        <v>14413.5181795973</v>
      </c>
      <c r="I169" s="5">
        <v>550.137096488856</v>
      </c>
      <c r="J169" s="5">
        <v>450.87441653157</v>
      </c>
      <c r="K169" s="5">
        <v>15414.52969261773</v>
      </c>
      <c r="L169" s="5">
        <f t="shared" si="3"/>
        <v>0.001343753831</v>
      </c>
      <c r="M169" s="5">
        <f t="shared" si="4"/>
        <v>0.001343753831</v>
      </c>
      <c r="N169" s="5">
        <f t="shared" si="5"/>
        <v>0.001437076852</v>
      </c>
      <c r="O169" s="5">
        <f t="shared" si="6"/>
        <v>0.03765122088</v>
      </c>
      <c r="P169" s="5">
        <f t="shared" si="7"/>
        <v>0.04594036072</v>
      </c>
      <c r="Q169" s="5">
        <f t="shared" si="8"/>
        <v>0.001437076852</v>
      </c>
      <c r="R169" s="5">
        <f t="shared" si="9"/>
        <v>0.03765122088</v>
      </c>
      <c r="S169" s="5">
        <f t="shared" ref="S169:T169" si="180">G169/J169</f>
        <v>0.04594036072</v>
      </c>
      <c r="T169" s="5">
        <f t="shared" si="180"/>
        <v>0.9350605219</v>
      </c>
      <c r="U169" s="5">
        <f t="shared" si="11"/>
        <v>0.03568951551</v>
      </c>
      <c r="V169" s="5">
        <f t="shared" si="12"/>
        <v>0.02924996257</v>
      </c>
      <c r="W169" s="5">
        <f t="shared" si="13"/>
        <v>744.1839247</v>
      </c>
      <c r="X169" s="5">
        <f t="shared" si="14"/>
        <v>744.1839247</v>
      </c>
    </row>
    <row r="170" ht="15.75" customHeight="1">
      <c r="A170" s="6" t="s">
        <v>256</v>
      </c>
      <c r="B170" s="6" t="s">
        <v>180</v>
      </c>
      <c r="C170" s="6">
        <v>100.0</v>
      </c>
      <c r="D170" s="6" t="s">
        <v>26</v>
      </c>
      <c r="E170" s="6">
        <v>20.6125</v>
      </c>
      <c r="F170" s="6">
        <v>100.0</v>
      </c>
      <c r="G170" s="6">
        <f t="shared" si="2"/>
        <v>20.6125</v>
      </c>
      <c r="H170" s="6">
        <v>14413.5181795973</v>
      </c>
      <c r="I170" s="6">
        <v>550.137096488856</v>
      </c>
      <c r="J170" s="6">
        <v>450.87441653157</v>
      </c>
      <c r="K170" s="6">
        <v>15414.52969261773</v>
      </c>
      <c r="L170" s="6">
        <f t="shared" si="3"/>
        <v>0.001337212384</v>
      </c>
      <c r="M170" s="6">
        <f t="shared" si="4"/>
        <v>0.001337212384</v>
      </c>
      <c r="N170" s="6">
        <f t="shared" si="5"/>
        <v>0.001430081105</v>
      </c>
      <c r="O170" s="6">
        <f t="shared" si="6"/>
        <v>0.03746793323</v>
      </c>
      <c r="P170" s="6">
        <f t="shared" si="7"/>
        <v>0.04571672121</v>
      </c>
      <c r="Q170" s="6">
        <f t="shared" si="8"/>
        <v>0.001430081105</v>
      </c>
      <c r="R170" s="6">
        <f t="shared" si="9"/>
        <v>0.03746793323</v>
      </c>
      <c r="S170" s="6">
        <f t="shared" ref="S170:T170" si="181">G170/J170</f>
        <v>0.04571672121</v>
      </c>
      <c r="T170" s="6">
        <f t="shared" si="181"/>
        <v>0.9350605219</v>
      </c>
      <c r="U170" s="6">
        <f t="shared" si="11"/>
        <v>0.03568951551</v>
      </c>
      <c r="V170" s="6">
        <f t="shared" si="12"/>
        <v>0.02924996257</v>
      </c>
      <c r="W170" s="6">
        <f t="shared" si="13"/>
        <v>747.8243635</v>
      </c>
      <c r="X170" s="6">
        <f t="shared" si="14"/>
        <v>747.8243635</v>
      </c>
      <c r="Y170" s="6"/>
      <c r="Z170" s="6"/>
    </row>
    <row r="171" ht="15.75" customHeight="1">
      <c r="A171" s="5" t="s">
        <v>257</v>
      </c>
      <c r="B171" s="5" t="s">
        <v>180</v>
      </c>
      <c r="C171" s="5">
        <v>100.0</v>
      </c>
      <c r="D171" s="5" t="s">
        <v>26</v>
      </c>
      <c r="E171" s="5">
        <v>20.5433333333333</v>
      </c>
      <c r="F171" s="5">
        <v>100.0</v>
      </c>
      <c r="G171" s="5">
        <f t="shared" si="2"/>
        <v>20.54333333</v>
      </c>
      <c r="H171" s="5">
        <v>14413.5181795973</v>
      </c>
      <c r="I171" s="5">
        <v>550.137096488856</v>
      </c>
      <c r="J171" s="5">
        <v>450.87441653157</v>
      </c>
      <c r="K171" s="5">
        <v>15414.52969261773</v>
      </c>
      <c r="L171" s="5">
        <f t="shared" si="3"/>
        <v>0.001332725276</v>
      </c>
      <c r="M171" s="5">
        <f t="shared" si="4"/>
        <v>0.001332725276</v>
      </c>
      <c r="N171" s="5">
        <f t="shared" si="5"/>
        <v>0.001425282369</v>
      </c>
      <c r="O171" s="5">
        <f t="shared" si="6"/>
        <v>0.037342207</v>
      </c>
      <c r="P171" s="5">
        <f t="shared" si="7"/>
        <v>0.04556331559</v>
      </c>
      <c r="Q171" s="5">
        <f t="shared" si="8"/>
        <v>0.001425282369</v>
      </c>
      <c r="R171" s="5">
        <f t="shared" si="9"/>
        <v>0.037342207</v>
      </c>
      <c r="S171" s="5">
        <f t="shared" ref="S171:T171" si="182">G171/J171</f>
        <v>0.04556331559</v>
      </c>
      <c r="T171" s="5">
        <f t="shared" si="182"/>
        <v>0.9350605219</v>
      </c>
      <c r="U171" s="5">
        <f t="shared" si="11"/>
        <v>0.03568951551</v>
      </c>
      <c r="V171" s="5">
        <f t="shared" si="12"/>
        <v>0.02924996257</v>
      </c>
      <c r="W171" s="5">
        <f t="shared" si="13"/>
        <v>750.3421885</v>
      </c>
      <c r="X171" s="5">
        <f t="shared" si="14"/>
        <v>750.3421885</v>
      </c>
    </row>
    <row r="172" ht="15.75" customHeight="1">
      <c r="A172" s="5" t="s">
        <v>258</v>
      </c>
      <c r="B172" s="5" t="s">
        <v>180</v>
      </c>
      <c r="C172" s="5">
        <v>100.0</v>
      </c>
      <c r="D172" s="5" t="s">
        <v>26</v>
      </c>
      <c r="E172" s="5">
        <v>20.53</v>
      </c>
      <c r="F172" s="5">
        <v>100.0</v>
      </c>
      <c r="G172" s="5">
        <f t="shared" si="2"/>
        <v>20.53</v>
      </c>
      <c r="H172" s="5">
        <v>14413.5181795973</v>
      </c>
      <c r="I172" s="5">
        <v>550.137096488856</v>
      </c>
      <c r="J172" s="5">
        <v>450.87441653157</v>
      </c>
      <c r="K172" s="5">
        <v>15414.52969261773</v>
      </c>
      <c r="L172" s="5">
        <f t="shared" si="3"/>
        <v>0.001331860291</v>
      </c>
      <c r="M172" s="5">
        <f t="shared" si="4"/>
        <v>0.001331860291</v>
      </c>
      <c r="N172" s="5">
        <f t="shared" si="5"/>
        <v>0.001424357311</v>
      </c>
      <c r="O172" s="5">
        <f t="shared" si="6"/>
        <v>0.03731797061</v>
      </c>
      <c r="P172" s="5">
        <f t="shared" si="7"/>
        <v>0.04553374343</v>
      </c>
      <c r="Q172" s="5">
        <f t="shared" si="8"/>
        <v>0.001424357311</v>
      </c>
      <c r="R172" s="5">
        <f t="shared" si="9"/>
        <v>0.03731797061</v>
      </c>
      <c r="S172" s="5">
        <f t="shared" ref="S172:T172" si="183">G172/J172</f>
        <v>0.04553374343</v>
      </c>
      <c r="T172" s="5">
        <f t="shared" si="183"/>
        <v>0.9350605219</v>
      </c>
      <c r="U172" s="5">
        <f t="shared" si="11"/>
        <v>0.03568951551</v>
      </c>
      <c r="V172" s="5">
        <f t="shared" si="12"/>
        <v>0.02924996257</v>
      </c>
      <c r="W172" s="5">
        <f t="shared" si="13"/>
        <v>750.8295028</v>
      </c>
      <c r="X172" s="5">
        <f t="shared" si="14"/>
        <v>750.8295028</v>
      </c>
    </row>
    <row r="173" ht="15.75" customHeight="1">
      <c r="A173" s="5" t="s">
        <v>259</v>
      </c>
      <c r="B173" s="5" t="s">
        <v>180</v>
      </c>
      <c r="C173" s="5">
        <v>100.0</v>
      </c>
      <c r="D173" s="5" t="s">
        <v>26</v>
      </c>
      <c r="E173" s="5">
        <v>19.9966666666667</v>
      </c>
      <c r="F173" s="5">
        <v>100.0</v>
      </c>
      <c r="G173" s="5">
        <f t="shared" si="2"/>
        <v>19.99666667</v>
      </c>
      <c r="H173" s="5">
        <v>14413.5181795973</v>
      </c>
      <c r="I173" s="5">
        <v>550.137096488856</v>
      </c>
      <c r="J173" s="5">
        <v>450.87441653157</v>
      </c>
      <c r="K173" s="5">
        <v>15414.52969261773</v>
      </c>
      <c r="L173" s="5">
        <f t="shared" si="3"/>
        <v>0.0012972609</v>
      </c>
      <c r="M173" s="5">
        <f t="shared" si="4"/>
        <v>0.0012972609</v>
      </c>
      <c r="N173" s="5">
        <f t="shared" si="5"/>
        <v>0.001387355011</v>
      </c>
      <c r="O173" s="5">
        <f t="shared" si="6"/>
        <v>0.0363485153</v>
      </c>
      <c r="P173" s="5">
        <f t="shared" si="7"/>
        <v>0.04435085677</v>
      </c>
      <c r="Q173" s="5">
        <f t="shared" si="8"/>
        <v>0.001387355011</v>
      </c>
      <c r="R173" s="5">
        <f t="shared" si="9"/>
        <v>0.0363485153</v>
      </c>
      <c r="S173" s="5">
        <f t="shared" ref="S173:T173" si="184">G173/J173</f>
        <v>0.04435085677</v>
      </c>
      <c r="T173" s="5">
        <f t="shared" si="184"/>
        <v>0.9350605219</v>
      </c>
      <c r="U173" s="5">
        <f t="shared" si="11"/>
        <v>0.03568951551</v>
      </c>
      <c r="V173" s="5">
        <f t="shared" si="12"/>
        <v>0.02924996257</v>
      </c>
      <c r="W173" s="5">
        <f t="shared" si="13"/>
        <v>770.8549605</v>
      </c>
      <c r="X173" s="5">
        <f t="shared" si="14"/>
        <v>770.8549605</v>
      </c>
    </row>
    <row r="174" ht="15.75" customHeight="1">
      <c r="A174" s="5" t="s">
        <v>260</v>
      </c>
      <c r="B174" s="5" t="s">
        <v>180</v>
      </c>
      <c r="C174" s="5">
        <v>100.0</v>
      </c>
      <c r="D174" s="5" t="s">
        <v>26</v>
      </c>
      <c r="E174" s="5">
        <v>19.8</v>
      </c>
      <c r="F174" s="5">
        <v>100.0</v>
      </c>
      <c r="G174" s="5">
        <f t="shared" si="2"/>
        <v>19.8</v>
      </c>
      <c r="H174" s="5">
        <v>14413.5181795973</v>
      </c>
      <c r="I174" s="5">
        <v>550.137096488856</v>
      </c>
      <c r="J174" s="5">
        <v>450.87441653157</v>
      </c>
      <c r="K174" s="5">
        <v>15414.52969261773</v>
      </c>
      <c r="L174" s="5">
        <f t="shared" si="3"/>
        <v>0.001284502375</v>
      </c>
      <c r="M174" s="5">
        <f t="shared" si="4"/>
        <v>0.001284502375</v>
      </c>
      <c r="N174" s="5">
        <f t="shared" si="5"/>
        <v>0.001373710412</v>
      </c>
      <c r="O174" s="5">
        <f t="shared" si="6"/>
        <v>0.03599102865</v>
      </c>
      <c r="P174" s="5">
        <f t="shared" si="7"/>
        <v>0.04391466731</v>
      </c>
      <c r="Q174" s="5">
        <f t="shared" si="8"/>
        <v>0.001373710412</v>
      </c>
      <c r="R174" s="5">
        <f t="shared" si="9"/>
        <v>0.03599102865</v>
      </c>
      <c r="S174" s="5">
        <f t="shared" ref="S174:T174" si="185">G174/J174</f>
        <v>0.04391466731</v>
      </c>
      <c r="T174" s="5">
        <f t="shared" si="185"/>
        <v>0.9350605219</v>
      </c>
      <c r="U174" s="5">
        <f t="shared" si="11"/>
        <v>0.03568951551</v>
      </c>
      <c r="V174" s="5">
        <f t="shared" si="12"/>
        <v>0.02924996257</v>
      </c>
      <c r="W174" s="5">
        <f t="shared" si="13"/>
        <v>778.5116006</v>
      </c>
      <c r="X174" s="5">
        <f t="shared" si="14"/>
        <v>778.5116006</v>
      </c>
    </row>
    <row r="175" ht="15.75" customHeight="1">
      <c r="A175" s="5" t="s">
        <v>261</v>
      </c>
      <c r="B175" s="5" t="s">
        <v>175</v>
      </c>
      <c r="C175" s="5">
        <v>57.69</v>
      </c>
      <c r="D175" s="5" t="s">
        <v>57</v>
      </c>
      <c r="E175" s="5">
        <v>8.34583333333334</v>
      </c>
      <c r="F175" s="5">
        <v>50.0</v>
      </c>
      <c r="G175" s="5">
        <f t="shared" si="2"/>
        <v>4.172916667</v>
      </c>
      <c r="H175" s="5">
        <v>3162.35074188951</v>
      </c>
      <c r="I175" s="5">
        <v>70.5578347573737</v>
      </c>
      <c r="J175" s="5">
        <v>33.5961495982512</v>
      </c>
      <c r="K175" s="5">
        <v>3266.504726245135</v>
      </c>
      <c r="L175" s="5">
        <f t="shared" si="3"/>
        <v>0.002554973598</v>
      </c>
      <c r="M175" s="5">
        <f t="shared" si="4"/>
        <v>0.001277486799</v>
      </c>
      <c r="N175" s="5">
        <f t="shared" si="5"/>
        <v>0.002639123239</v>
      </c>
      <c r="O175" s="5">
        <f t="shared" si="6"/>
        <v>0.1182835806</v>
      </c>
      <c r="P175" s="5">
        <f t="shared" si="7"/>
        <v>0.2484163642</v>
      </c>
      <c r="Q175" s="5">
        <f t="shared" si="8"/>
        <v>0.00131956162</v>
      </c>
      <c r="R175" s="5">
        <f t="shared" si="9"/>
        <v>0.05914179029</v>
      </c>
      <c r="S175" s="5">
        <f t="shared" ref="S175:T175" si="186">G175/J175</f>
        <v>0.1242081821</v>
      </c>
      <c r="T175" s="5">
        <f t="shared" si="186"/>
        <v>0.9681145466</v>
      </c>
      <c r="U175" s="5">
        <f t="shared" si="11"/>
        <v>0.02160040798</v>
      </c>
      <c r="V175" s="5">
        <f t="shared" si="12"/>
        <v>0.01028504546</v>
      </c>
      <c r="W175" s="5">
        <f t="shared" si="13"/>
        <v>391.3934769</v>
      </c>
      <c r="X175" s="5">
        <f t="shared" si="14"/>
        <v>782.7869539</v>
      </c>
    </row>
    <row r="176" ht="15.75" customHeight="1">
      <c r="A176" s="5" t="s">
        <v>262</v>
      </c>
      <c r="B176" s="5" t="s">
        <v>180</v>
      </c>
      <c r="C176" s="5">
        <v>100.0</v>
      </c>
      <c r="D176" s="5" t="s">
        <v>26</v>
      </c>
      <c r="E176" s="5">
        <v>19.6583333333333</v>
      </c>
      <c r="F176" s="5">
        <v>100.0</v>
      </c>
      <c r="G176" s="5">
        <f t="shared" si="2"/>
        <v>19.65833333</v>
      </c>
      <c r="H176" s="5">
        <v>14413.5181795973</v>
      </c>
      <c r="I176" s="5">
        <v>550.137096488856</v>
      </c>
      <c r="J176" s="5">
        <v>450.87441653157</v>
      </c>
      <c r="K176" s="5">
        <v>15414.52969261773</v>
      </c>
      <c r="L176" s="5">
        <f t="shared" si="3"/>
        <v>0.001275311912</v>
      </c>
      <c r="M176" s="5">
        <f t="shared" si="4"/>
        <v>0.001275311912</v>
      </c>
      <c r="N176" s="5">
        <f t="shared" si="5"/>
        <v>0.001363881676</v>
      </c>
      <c r="O176" s="5">
        <f t="shared" si="6"/>
        <v>0.03573351708</v>
      </c>
      <c r="P176" s="5">
        <f t="shared" si="7"/>
        <v>0.04360046304</v>
      </c>
      <c r="Q176" s="5">
        <f t="shared" si="8"/>
        <v>0.001363881676</v>
      </c>
      <c r="R176" s="5">
        <f t="shared" si="9"/>
        <v>0.03573351708</v>
      </c>
      <c r="S176" s="5">
        <f t="shared" ref="S176:T176" si="187">G176/J176</f>
        <v>0.04360046304</v>
      </c>
      <c r="T176" s="5">
        <f t="shared" si="187"/>
        <v>0.9350605219</v>
      </c>
      <c r="U176" s="5">
        <f t="shared" si="11"/>
        <v>0.03568951551</v>
      </c>
      <c r="V176" s="5">
        <f t="shared" si="12"/>
        <v>0.02924996257</v>
      </c>
      <c r="W176" s="5">
        <f t="shared" si="13"/>
        <v>784.1219004</v>
      </c>
      <c r="X176" s="5">
        <f t="shared" si="14"/>
        <v>784.1219004</v>
      </c>
    </row>
    <row r="177" ht="15.75" customHeight="1">
      <c r="A177" s="5" t="s">
        <v>263</v>
      </c>
      <c r="B177" s="5" t="s">
        <v>180</v>
      </c>
      <c r="C177" s="5">
        <v>100.0</v>
      </c>
      <c r="D177" s="5" t="s">
        <v>26</v>
      </c>
      <c r="E177" s="5">
        <v>19.5366666666667</v>
      </c>
      <c r="F177" s="5">
        <v>100.0</v>
      </c>
      <c r="G177" s="5">
        <f t="shared" si="2"/>
        <v>19.53666667</v>
      </c>
      <c r="H177" s="5">
        <v>14413.5181795973</v>
      </c>
      <c r="I177" s="5">
        <v>550.137096488856</v>
      </c>
      <c r="J177" s="5">
        <v>450.87441653157</v>
      </c>
      <c r="K177" s="5">
        <v>15414.52969261773</v>
      </c>
      <c r="L177" s="5">
        <f t="shared" si="3"/>
        <v>0.001267418926</v>
      </c>
      <c r="M177" s="5">
        <f t="shared" si="4"/>
        <v>0.001267418926</v>
      </c>
      <c r="N177" s="5">
        <f t="shared" si="5"/>
        <v>0.001355440526</v>
      </c>
      <c r="O177" s="5">
        <f t="shared" si="6"/>
        <v>0.03551236009</v>
      </c>
      <c r="P177" s="5">
        <f t="shared" si="7"/>
        <v>0.04333061702</v>
      </c>
      <c r="Q177" s="5">
        <f t="shared" si="8"/>
        <v>0.001355440526</v>
      </c>
      <c r="R177" s="5">
        <f t="shared" si="9"/>
        <v>0.03551236009</v>
      </c>
      <c r="S177" s="5">
        <f t="shared" ref="S177:T177" si="188">G177/J177</f>
        <v>0.04333061702</v>
      </c>
      <c r="T177" s="5">
        <f t="shared" si="188"/>
        <v>0.9350605219</v>
      </c>
      <c r="U177" s="5">
        <f t="shared" si="11"/>
        <v>0.03568951551</v>
      </c>
      <c r="V177" s="5">
        <f t="shared" si="12"/>
        <v>0.02924996257</v>
      </c>
      <c r="W177" s="5">
        <f t="shared" si="13"/>
        <v>789.0051028</v>
      </c>
      <c r="X177" s="5">
        <f t="shared" si="14"/>
        <v>789.0051028</v>
      </c>
    </row>
    <row r="178" ht="15.75" customHeight="1">
      <c r="A178" s="5" t="s">
        <v>264</v>
      </c>
      <c r="B178" s="5" t="s">
        <v>265</v>
      </c>
      <c r="C178" s="5">
        <v>42.53</v>
      </c>
      <c r="D178" s="5" t="s">
        <v>44</v>
      </c>
      <c r="E178" s="5">
        <v>20.875</v>
      </c>
      <c r="F178" s="5">
        <v>50.0</v>
      </c>
      <c r="G178" s="5">
        <f t="shared" si="2"/>
        <v>10.4375</v>
      </c>
      <c r="H178" s="5">
        <v>5369.45826958775</v>
      </c>
      <c r="I178" s="5">
        <v>1865.11476610424</v>
      </c>
      <c r="J178" s="5">
        <v>1045.68362959218</v>
      </c>
      <c r="K178" s="5">
        <v>8280.25666528417</v>
      </c>
      <c r="L178" s="5">
        <f t="shared" si="3"/>
        <v>0.002521057117</v>
      </c>
      <c r="M178" s="5">
        <f t="shared" si="4"/>
        <v>0.001260528559</v>
      </c>
      <c r="N178" s="5">
        <f t="shared" si="5"/>
        <v>0.003887729255</v>
      </c>
      <c r="O178" s="5">
        <f t="shared" si="6"/>
        <v>0.01119234075</v>
      </c>
      <c r="P178" s="5">
        <f t="shared" si="7"/>
        <v>0.01996301693</v>
      </c>
      <c r="Q178" s="5">
        <f t="shared" si="8"/>
        <v>0.001943864628</v>
      </c>
      <c r="R178" s="5">
        <f t="shared" si="9"/>
        <v>0.005596170375</v>
      </c>
      <c r="S178" s="5">
        <f t="shared" ref="S178:T178" si="189">G178/J178</f>
        <v>0.009981508465</v>
      </c>
      <c r="T178" s="5">
        <f t="shared" si="189"/>
        <v>0.648465197</v>
      </c>
      <c r="U178" s="5">
        <f t="shared" si="11"/>
        <v>0.2252484242</v>
      </c>
      <c r="V178" s="5">
        <f t="shared" si="12"/>
        <v>0.1262863788</v>
      </c>
      <c r="W178" s="5">
        <f t="shared" si="13"/>
        <v>396.6590019</v>
      </c>
      <c r="X178" s="5">
        <f t="shared" si="14"/>
        <v>793.3180039</v>
      </c>
    </row>
    <row r="179" ht="15.75" customHeight="1">
      <c r="A179" s="5" t="s">
        <v>266</v>
      </c>
      <c r="B179" s="5" t="s">
        <v>180</v>
      </c>
      <c r="C179" s="5">
        <v>100.0</v>
      </c>
      <c r="D179" s="5" t="s">
        <v>26</v>
      </c>
      <c r="E179" s="5">
        <v>19.42</v>
      </c>
      <c r="F179" s="5">
        <v>100.0</v>
      </c>
      <c r="G179" s="5">
        <f t="shared" si="2"/>
        <v>19.42</v>
      </c>
      <c r="H179" s="5">
        <v>14413.5181795973</v>
      </c>
      <c r="I179" s="5">
        <v>550.137096488856</v>
      </c>
      <c r="J179" s="5">
        <v>450.87441653157</v>
      </c>
      <c r="K179" s="5">
        <v>15414.52969261773</v>
      </c>
      <c r="L179" s="5">
        <f t="shared" si="3"/>
        <v>0.001259850309</v>
      </c>
      <c r="M179" s="5">
        <f t="shared" si="4"/>
        <v>0.001259850309</v>
      </c>
      <c r="N179" s="5">
        <f t="shared" si="5"/>
        <v>0.001347346273</v>
      </c>
      <c r="O179" s="5">
        <f t="shared" si="6"/>
        <v>0.03530029173</v>
      </c>
      <c r="P179" s="5">
        <f t="shared" si="7"/>
        <v>0.04307186056</v>
      </c>
      <c r="Q179" s="5">
        <f t="shared" si="8"/>
        <v>0.001347346273</v>
      </c>
      <c r="R179" s="5">
        <f t="shared" si="9"/>
        <v>0.03530029173</v>
      </c>
      <c r="S179" s="5">
        <f t="shared" ref="S179:T179" si="190">G179/J179</f>
        <v>0.04307186056</v>
      </c>
      <c r="T179" s="5">
        <f t="shared" si="190"/>
        <v>0.9350605219</v>
      </c>
      <c r="U179" s="5">
        <f t="shared" si="11"/>
        <v>0.03568951551</v>
      </c>
      <c r="V179" s="5">
        <f t="shared" si="12"/>
        <v>0.02924996257</v>
      </c>
      <c r="W179" s="5">
        <f t="shared" si="13"/>
        <v>793.7450923</v>
      </c>
      <c r="X179" s="5">
        <f t="shared" si="14"/>
        <v>793.7450923</v>
      </c>
    </row>
    <row r="180" ht="15.75" customHeight="1">
      <c r="A180" s="3" t="s">
        <v>267</v>
      </c>
      <c r="B180" s="3" t="s">
        <v>185</v>
      </c>
      <c r="C180" s="3">
        <v>55.1</v>
      </c>
      <c r="D180" s="3" t="s">
        <v>26</v>
      </c>
      <c r="E180" s="3">
        <v>7.82</v>
      </c>
      <c r="F180" s="3">
        <v>100.0</v>
      </c>
      <c r="G180" s="3">
        <f t="shared" si="2"/>
        <v>7.82</v>
      </c>
      <c r="H180" s="3">
        <v>5117.48219264964</v>
      </c>
      <c r="I180" s="3">
        <v>471.572712332384</v>
      </c>
      <c r="J180" s="3">
        <v>648.545040300868</v>
      </c>
      <c r="K180" s="3">
        <v>6237.599945282892</v>
      </c>
      <c r="L180" s="3">
        <f t="shared" si="3"/>
        <v>0.001253687327</v>
      </c>
      <c r="M180" s="3">
        <f t="shared" si="4"/>
        <v>0.001253687327</v>
      </c>
      <c r="N180" s="3">
        <f t="shared" si="5"/>
        <v>0.001528095205</v>
      </c>
      <c r="O180" s="3">
        <f t="shared" si="6"/>
        <v>0.01658280854</v>
      </c>
      <c r="P180" s="3">
        <f t="shared" si="7"/>
        <v>0.01205775931</v>
      </c>
      <c r="Q180" s="3">
        <f t="shared" si="8"/>
        <v>0.001528095205</v>
      </c>
      <c r="R180" s="3">
        <f t="shared" si="9"/>
        <v>0.01658280854</v>
      </c>
      <c r="S180" s="3">
        <f t="shared" ref="S180:T180" si="191">G180/J180</f>
        <v>0.01205775931</v>
      </c>
      <c r="T180" s="3">
        <f t="shared" si="191"/>
        <v>0.820424881</v>
      </c>
      <c r="U180" s="3">
        <f t="shared" si="11"/>
        <v>0.07560162827</v>
      </c>
      <c r="V180" s="3">
        <f t="shared" si="12"/>
        <v>0.1039734908</v>
      </c>
      <c r="W180" s="3">
        <f t="shared" si="13"/>
        <v>797.6470518</v>
      </c>
      <c r="X180" s="3">
        <f t="shared" si="14"/>
        <v>797.6470518</v>
      </c>
      <c r="Y180" s="3"/>
      <c r="Z180" s="3"/>
    </row>
    <row r="181" ht="15.75" customHeight="1">
      <c r="A181" s="5" t="s">
        <v>268</v>
      </c>
      <c r="B181" s="5" t="s">
        <v>180</v>
      </c>
      <c r="C181" s="5">
        <v>100.0</v>
      </c>
      <c r="D181" s="5" t="s">
        <v>26</v>
      </c>
      <c r="E181" s="5">
        <v>19.1966666666667</v>
      </c>
      <c r="F181" s="5">
        <v>100.0</v>
      </c>
      <c r="G181" s="5">
        <f t="shared" si="2"/>
        <v>19.19666667</v>
      </c>
      <c r="H181" s="5">
        <v>14413.5181795973</v>
      </c>
      <c r="I181" s="5">
        <v>550.137096488856</v>
      </c>
      <c r="J181" s="5">
        <v>450.87441653157</v>
      </c>
      <c r="K181" s="5">
        <v>15414.52969261773</v>
      </c>
      <c r="L181" s="5">
        <f t="shared" si="3"/>
        <v>0.001245361814</v>
      </c>
      <c r="M181" s="5">
        <f t="shared" si="4"/>
        <v>0.001245361814</v>
      </c>
      <c r="N181" s="5">
        <f t="shared" si="5"/>
        <v>0.00133185156</v>
      </c>
      <c r="O181" s="5">
        <f t="shared" si="6"/>
        <v>0.03489433232</v>
      </c>
      <c r="P181" s="5">
        <f t="shared" si="7"/>
        <v>0.04257652677</v>
      </c>
      <c r="Q181" s="5">
        <f t="shared" si="8"/>
        <v>0.00133185156</v>
      </c>
      <c r="R181" s="5">
        <f t="shared" si="9"/>
        <v>0.03489433232</v>
      </c>
      <c r="S181" s="5">
        <f t="shared" ref="S181:T181" si="192">G181/J181</f>
        <v>0.04257652677</v>
      </c>
      <c r="T181" s="5">
        <f t="shared" si="192"/>
        <v>0.9350605219</v>
      </c>
      <c r="U181" s="5">
        <f t="shared" si="11"/>
        <v>0.03568951551</v>
      </c>
      <c r="V181" s="5">
        <f t="shared" si="12"/>
        <v>0.02924996257</v>
      </c>
      <c r="W181" s="5">
        <f t="shared" si="13"/>
        <v>802.9794943</v>
      </c>
      <c r="X181" s="5">
        <f t="shared" si="14"/>
        <v>802.9794943</v>
      </c>
    </row>
    <row r="182" ht="15.75" customHeight="1">
      <c r="A182" s="5" t="s">
        <v>269</v>
      </c>
      <c r="B182" s="5" t="s">
        <v>180</v>
      </c>
      <c r="C182" s="5">
        <v>100.0</v>
      </c>
      <c r="D182" s="5" t="s">
        <v>26</v>
      </c>
      <c r="E182" s="5">
        <v>18.8233333333333</v>
      </c>
      <c r="F182" s="5">
        <v>100.0</v>
      </c>
      <c r="G182" s="5">
        <f t="shared" si="2"/>
        <v>18.82333333</v>
      </c>
      <c r="H182" s="5">
        <v>14413.5181795973</v>
      </c>
      <c r="I182" s="5">
        <v>550.137096488856</v>
      </c>
      <c r="J182" s="5">
        <v>450.87441653157</v>
      </c>
      <c r="K182" s="5">
        <v>15414.52969261773</v>
      </c>
      <c r="L182" s="5">
        <f t="shared" si="3"/>
        <v>0.001221142241</v>
      </c>
      <c r="M182" s="5">
        <f t="shared" si="4"/>
        <v>0.001221142241</v>
      </c>
      <c r="N182" s="5">
        <f t="shared" si="5"/>
        <v>0.001305949949</v>
      </c>
      <c r="O182" s="5">
        <f t="shared" si="6"/>
        <v>0.0342157136</v>
      </c>
      <c r="P182" s="5">
        <f t="shared" si="7"/>
        <v>0.04174850611</v>
      </c>
      <c r="Q182" s="5">
        <f t="shared" si="8"/>
        <v>0.001305949949</v>
      </c>
      <c r="R182" s="5">
        <f t="shared" si="9"/>
        <v>0.0342157136</v>
      </c>
      <c r="S182" s="5">
        <f t="shared" ref="S182:T182" si="193">G182/J182</f>
        <v>0.04174850611</v>
      </c>
      <c r="T182" s="5">
        <f t="shared" si="193"/>
        <v>0.9350605219</v>
      </c>
      <c r="U182" s="5">
        <f t="shared" si="11"/>
        <v>0.03568951551</v>
      </c>
      <c r="V182" s="5">
        <f t="shared" si="12"/>
        <v>0.02924996257</v>
      </c>
      <c r="W182" s="5">
        <f t="shared" si="13"/>
        <v>818.9054202</v>
      </c>
      <c r="X182" s="5">
        <f t="shared" si="14"/>
        <v>818.9054202</v>
      </c>
    </row>
    <row r="183" ht="15.75" customHeight="1">
      <c r="A183" s="5" t="s">
        <v>270</v>
      </c>
      <c r="B183" s="5" t="s">
        <v>271</v>
      </c>
      <c r="C183" s="5">
        <v>43.98</v>
      </c>
      <c r="D183" s="5" t="s">
        <v>26</v>
      </c>
      <c r="E183" s="5">
        <v>13.15625</v>
      </c>
      <c r="F183" s="5">
        <v>100.0</v>
      </c>
      <c r="G183" s="5">
        <f t="shared" si="2"/>
        <v>13.15625</v>
      </c>
      <c r="H183" s="5">
        <v>10233.5979075141</v>
      </c>
      <c r="I183" s="5">
        <v>388.597338507088</v>
      </c>
      <c r="J183" s="5">
        <v>320.120835737414</v>
      </c>
      <c r="K183" s="5">
        <v>10942.3160817586</v>
      </c>
      <c r="L183" s="5">
        <f t="shared" si="3"/>
        <v>0.001202327725</v>
      </c>
      <c r="M183" s="5">
        <f t="shared" si="4"/>
        <v>0.001202327725</v>
      </c>
      <c r="N183" s="5">
        <f t="shared" si="5"/>
        <v>0.001285593798</v>
      </c>
      <c r="O183" s="5">
        <f t="shared" si="6"/>
        <v>0.03385573882</v>
      </c>
      <c r="P183" s="5">
        <f t="shared" si="7"/>
        <v>0.04109776225</v>
      </c>
      <c r="Q183" s="5">
        <f t="shared" si="8"/>
        <v>0.001285593798</v>
      </c>
      <c r="R183" s="5">
        <f t="shared" si="9"/>
        <v>0.03385573882</v>
      </c>
      <c r="S183" s="5">
        <f t="shared" ref="S183:T183" si="194">G183/J183</f>
        <v>0.04109776225</v>
      </c>
      <c r="T183" s="5">
        <f t="shared" si="194"/>
        <v>0.9352314292</v>
      </c>
      <c r="U183" s="5">
        <f t="shared" si="11"/>
        <v>0.03551326206</v>
      </c>
      <c r="V183" s="5">
        <f t="shared" si="12"/>
        <v>0.02925530878</v>
      </c>
      <c r="W183" s="5">
        <f t="shared" si="13"/>
        <v>831.7199872</v>
      </c>
      <c r="X183" s="5">
        <f t="shared" si="14"/>
        <v>831.7199872</v>
      </c>
    </row>
    <row r="184" ht="15.75" customHeight="1">
      <c r="A184" s="3" t="s">
        <v>272</v>
      </c>
      <c r="B184" s="3" t="s">
        <v>111</v>
      </c>
      <c r="C184" s="3">
        <v>63.29</v>
      </c>
      <c r="D184" s="3" t="s">
        <v>81</v>
      </c>
      <c r="E184" s="3">
        <v>13.1622400919596</v>
      </c>
      <c r="F184" s="3">
        <v>50.0</v>
      </c>
      <c r="G184" s="3">
        <f t="shared" si="2"/>
        <v>6.581120046</v>
      </c>
      <c r="H184" s="3">
        <v>4694.70005807842</v>
      </c>
      <c r="I184" s="3">
        <v>465.44724904672</v>
      </c>
      <c r="J184" s="3">
        <v>393.325251816683</v>
      </c>
      <c r="K184" s="3">
        <v>5553.472558941822</v>
      </c>
      <c r="L184" s="3">
        <f t="shared" si="3"/>
        <v>0.002370091857</v>
      </c>
      <c r="M184" s="3">
        <f t="shared" si="4"/>
        <v>0.001185045929</v>
      </c>
      <c r="N184" s="3">
        <f t="shared" si="5"/>
        <v>0.00280363813</v>
      </c>
      <c r="O184" s="3">
        <f t="shared" si="6"/>
        <v>0.02827869349</v>
      </c>
      <c r="P184" s="3">
        <f t="shared" si="7"/>
        <v>0.03346400983</v>
      </c>
      <c r="Q184" s="3">
        <f t="shared" si="8"/>
        <v>0.001401819065</v>
      </c>
      <c r="R184" s="3">
        <f t="shared" si="9"/>
        <v>0.01413934675</v>
      </c>
      <c r="S184" s="3">
        <f t="shared" ref="S184:T184" si="195">G184/J184</f>
        <v>0.01673200491</v>
      </c>
      <c r="T184" s="3">
        <f t="shared" si="195"/>
        <v>0.8453629703</v>
      </c>
      <c r="U184" s="3">
        <f t="shared" si="11"/>
        <v>0.08381192922</v>
      </c>
      <c r="V184" s="3">
        <f t="shared" si="12"/>
        <v>0.07082510045</v>
      </c>
      <c r="W184" s="3">
        <f t="shared" si="13"/>
        <v>421.9245752</v>
      </c>
      <c r="X184" s="3">
        <f t="shared" si="14"/>
        <v>843.8491503</v>
      </c>
      <c r="Y184" s="3"/>
      <c r="Z184" s="3"/>
    </row>
    <row r="185" ht="15.75" customHeight="1">
      <c r="A185" s="6" t="s">
        <v>273</v>
      </c>
      <c r="B185" s="6" t="s">
        <v>180</v>
      </c>
      <c r="C185" s="6">
        <v>100.0</v>
      </c>
      <c r="D185" s="6" t="s">
        <v>26</v>
      </c>
      <c r="E185" s="6">
        <v>18.15625</v>
      </c>
      <c r="F185" s="6">
        <v>100.0</v>
      </c>
      <c r="G185" s="6">
        <f t="shared" si="2"/>
        <v>18.15625</v>
      </c>
      <c r="H185" s="6">
        <v>14413.5181795973</v>
      </c>
      <c r="I185" s="6">
        <v>550.137096488856</v>
      </c>
      <c r="J185" s="6">
        <v>450.87441653157</v>
      </c>
      <c r="K185" s="6">
        <v>15414.52969261773</v>
      </c>
      <c r="L185" s="6">
        <f t="shared" si="3"/>
        <v>0.001177865972</v>
      </c>
      <c r="M185" s="6">
        <f t="shared" si="4"/>
        <v>0.001177865972</v>
      </c>
      <c r="N185" s="6">
        <f t="shared" si="5"/>
        <v>0.001259668165</v>
      </c>
      <c r="O185" s="6">
        <f t="shared" si="6"/>
        <v>0.03300313707</v>
      </c>
      <c r="P185" s="6">
        <f t="shared" si="7"/>
        <v>0.04026897365</v>
      </c>
      <c r="Q185" s="6">
        <f t="shared" si="8"/>
        <v>0.001259668165</v>
      </c>
      <c r="R185" s="6">
        <f t="shared" si="9"/>
        <v>0.03300313707</v>
      </c>
      <c r="S185" s="6">
        <f t="shared" ref="S185:T185" si="196">G185/J185</f>
        <v>0.04026897365</v>
      </c>
      <c r="T185" s="6">
        <f t="shared" si="196"/>
        <v>0.9350605219</v>
      </c>
      <c r="U185" s="6">
        <f t="shared" si="11"/>
        <v>0.03568951551</v>
      </c>
      <c r="V185" s="6">
        <f t="shared" si="12"/>
        <v>0.02924996257</v>
      </c>
      <c r="W185" s="6">
        <f t="shared" si="13"/>
        <v>848.9930295</v>
      </c>
      <c r="X185" s="6">
        <f t="shared" si="14"/>
        <v>848.9930295</v>
      </c>
      <c r="Y185" s="6"/>
      <c r="Z185" s="6"/>
    </row>
    <row r="186" ht="15.75" customHeight="1">
      <c r="A186" s="3" t="s">
        <v>274</v>
      </c>
      <c r="B186" s="3" t="s">
        <v>90</v>
      </c>
      <c r="C186" s="3">
        <v>100.0</v>
      </c>
      <c r="D186" s="3" t="s">
        <v>61</v>
      </c>
      <c r="E186" s="3">
        <v>6.55317671044668</v>
      </c>
      <c r="F186" s="3">
        <v>90.0</v>
      </c>
      <c r="G186" s="3">
        <f t="shared" si="2"/>
        <v>5.897859039</v>
      </c>
      <c r="H186" s="3">
        <v>4264.41046200854</v>
      </c>
      <c r="I186" s="3">
        <v>438.660008395035</v>
      </c>
      <c r="J186" s="3">
        <v>357.275288744589</v>
      </c>
      <c r="K186" s="3">
        <v>5060.345759148164</v>
      </c>
      <c r="L186" s="3">
        <f t="shared" si="3"/>
        <v>0.001295005721</v>
      </c>
      <c r="M186" s="3">
        <f t="shared" si="4"/>
        <v>0.001165505149</v>
      </c>
      <c r="N186" s="3">
        <f t="shared" si="5"/>
        <v>0.001536713402</v>
      </c>
      <c r="O186" s="3">
        <f t="shared" si="6"/>
        <v>0.01493907944</v>
      </c>
      <c r="P186" s="3">
        <f t="shared" si="7"/>
        <v>0.01834209339</v>
      </c>
      <c r="Q186" s="3">
        <f t="shared" si="8"/>
        <v>0.001383042062</v>
      </c>
      <c r="R186" s="3">
        <f t="shared" si="9"/>
        <v>0.01344517149</v>
      </c>
      <c r="S186" s="3">
        <f t="shared" ref="S186:T186" si="197">G186/J186</f>
        <v>0.01650788405</v>
      </c>
      <c r="T186" s="3">
        <f t="shared" si="197"/>
        <v>0.842711282</v>
      </c>
      <c r="U186" s="3">
        <f t="shared" si="11"/>
        <v>0.08668577786</v>
      </c>
      <c r="V186" s="3">
        <f t="shared" si="12"/>
        <v>0.07060294014</v>
      </c>
      <c r="W186" s="3">
        <f t="shared" si="13"/>
        <v>772.1973606</v>
      </c>
      <c r="X186" s="3">
        <f t="shared" si="14"/>
        <v>857.9970673</v>
      </c>
      <c r="Y186" s="3"/>
      <c r="Z186" s="3"/>
    </row>
    <row r="187" ht="15.75" customHeight="1">
      <c r="A187" s="5" t="s">
        <v>275</v>
      </c>
      <c r="B187" s="5" t="s">
        <v>276</v>
      </c>
      <c r="C187" s="5">
        <v>68.63</v>
      </c>
      <c r="D187" s="5" t="s">
        <v>44</v>
      </c>
      <c r="E187" s="5">
        <v>18.5547593851089</v>
      </c>
      <c r="F187" s="5">
        <v>50.0</v>
      </c>
      <c r="G187" s="5">
        <f t="shared" si="2"/>
        <v>9.277379693</v>
      </c>
      <c r="H187" s="5">
        <v>4631.83475361244</v>
      </c>
      <c r="I187" s="5">
        <v>1907.98434898715</v>
      </c>
      <c r="J187" s="5">
        <v>1507.44052150399</v>
      </c>
      <c r="K187" s="5">
        <v>8047.259624103581</v>
      </c>
      <c r="L187" s="5">
        <f t="shared" si="3"/>
        <v>0.002305723967</v>
      </c>
      <c r="M187" s="5">
        <f t="shared" si="4"/>
        <v>0.001152861984</v>
      </c>
      <c r="N187" s="5">
        <f t="shared" si="5"/>
        <v>0.00400591998</v>
      </c>
      <c r="O187" s="5">
        <f t="shared" si="6"/>
        <v>0.00972479643</v>
      </c>
      <c r="P187" s="5">
        <f t="shared" si="7"/>
        <v>0.01230878374</v>
      </c>
      <c r="Q187" s="5">
        <f t="shared" si="8"/>
        <v>0.00200295999</v>
      </c>
      <c r="R187" s="5">
        <f t="shared" si="9"/>
        <v>0.004862398215</v>
      </c>
      <c r="S187" s="5">
        <f t="shared" ref="S187:T187" si="198">G187/J187</f>
        <v>0.006154391872</v>
      </c>
      <c r="T187" s="5">
        <f t="shared" si="198"/>
        <v>0.5755791375</v>
      </c>
      <c r="U187" s="5">
        <f t="shared" si="11"/>
        <v>0.2370974019</v>
      </c>
      <c r="V187" s="5">
        <f t="shared" si="12"/>
        <v>0.1873234606</v>
      </c>
      <c r="W187" s="5">
        <f t="shared" si="13"/>
        <v>433.7032595</v>
      </c>
      <c r="X187" s="5">
        <f t="shared" si="14"/>
        <v>867.406519</v>
      </c>
    </row>
    <row r="188" ht="15.75" customHeight="1">
      <c r="A188" s="5" t="s">
        <v>277</v>
      </c>
      <c r="B188" s="5" t="s">
        <v>180</v>
      </c>
      <c r="C188" s="5">
        <v>100.0</v>
      </c>
      <c r="D188" s="5" t="s">
        <v>26</v>
      </c>
      <c r="E188" s="5">
        <v>17.5833333333333</v>
      </c>
      <c r="F188" s="5">
        <v>100.0</v>
      </c>
      <c r="G188" s="5">
        <f t="shared" si="2"/>
        <v>17.58333333</v>
      </c>
      <c r="H188" s="5">
        <v>14413.5181795973</v>
      </c>
      <c r="I188" s="5">
        <v>550.137096488856</v>
      </c>
      <c r="J188" s="5">
        <v>450.87441653157</v>
      </c>
      <c r="K188" s="5">
        <v>15414.52969261773</v>
      </c>
      <c r="L188" s="5">
        <f t="shared" si="3"/>
        <v>0.001140698658</v>
      </c>
      <c r="M188" s="5">
        <f t="shared" si="4"/>
        <v>0.001140698658</v>
      </c>
      <c r="N188" s="5">
        <f t="shared" si="5"/>
        <v>0.0012199196</v>
      </c>
      <c r="O188" s="5">
        <f t="shared" si="6"/>
        <v>0.03196172999</v>
      </c>
      <c r="P188" s="5">
        <f t="shared" si="7"/>
        <v>0.03899829462</v>
      </c>
      <c r="Q188" s="5">
        <f t="shared" si="8"/>
        <v>0.0012199196</v>
      </c>
      <c r="R188" s="5">
        <f t="shared" si="9"/>
        <v>0.03196172999</v>
      </c>
      <c r="S188" s="5">
        <f t="shared" ref="S188:T188" si="199">G188/J188</f>
        <v>0.03899829462</v>
      </c>
      <c r="T188" s="5">
        <f t="shared" si="199"/>
        <v>0.9350605219</v>
      </c>
      <c r="U188" s="5">
        <f t="shared" si="11"/>
        <v>0.03568951551</v>
      </c>
      <c r="V188" s="5">
        <f t="shared" si="12"/>
        <v>0.02924996257</v>
      </c>
      <c r="W188" s="5">
        <f t="shared" si="13"/>
        <v>876.6557171</v>
      </c>
      <c r="X188" s="5">
        <f t="shared" si="14"/>
        <v>876.6557171</v>
      </c>
    </row>
    <row r="189" ht="15.75" customHeight="1">
      <c r="A189" s="5" t="s">
        <v>278</v>
      </c>
      <c r="B189" s="5" t="s">
        <v>180</v>
      </c>
      <c r="C189" s="5">
        <v>100.0</v>
      </c>
      <c r="D189" s="5" t="s">
        <v>26</v>
      </c>
      <c r="E189" s="5">
        <v>17.5566666666667</v>
      </c>
      <c r="F189" s="5">
        <v>100.0</v>
      </c>
      <c r="G189" s="5">
        <f t="shared" si="2"/>
        <v>17.55666667</v>
      </c>
      <c r="H189" s="5">
        <v>14413.5181795973</v>
      </c>
      <c r="I189" s="5">
        <v>550.137096488856</v>
      </c>
      <c r="J189" s="5">
        <v>450.87441653157</v>
      </c>
      <c r="K189" s="5">
        <v>15414.52969261773</v>
      </c>
      <c r="L189" s="5">
        <f t="shared" si="3"/>
        <v>0.001138968688</v>
      </c>
      <c r="M189" s="5">
        <f t="shared" si="4"/>
        <v>0.001138968688</v>
      </c>
      <c r="N189" s="5">
        <f t="shared" si="5"/>
        <v>0.001218069485</v>
      </c>
      <c r="O189" s="5">
        <f t="shared" si="6"/>
        <v>0.03191325722</v>
      </c>
      <c r="P189" s="5">
        <f t="shared" si="7"/>
        <v>0.03893915029</v>
      </c>
      <c r="Q189" s="5">
        <f t="shared" si="8"/>
        <v>0.001218069485</v>
      </c>
      <c r="R189" s="5">
        <f t="shared" si="9"/>
        <v>0.03191325722</v>
      </c>
      <c r="S189" s="5">
        <f t="shared" ref="S189:T189" si="200">G189/J189</f>
        <v>0.03893915029</v>
      </c>
      <c r="T189" s="5">
        <f t="shared" si="200"/>
        <v>0.9350605219</v>
      </c>
      <c r="U189" s="5">
        <f t="shared" si="11"/>
        <v>0.03568951551</v>
      </c>
      <c r="V189" s="5">
        <f t="shared" si="12"/>
        <v>0.02924996257</v>
      </c>
      <c r="W189" s="5">
        <f t="shared" si="13"/>
        <v>877.9872618</v>
      </c>
      <c r="X189" s="5">
        <f t="shared" si="14"/>
        <v>877.9872618</v>
      </c>
    </row>
    <row r="190" ht="15.75" customHeight="1">
      <c r="A190" s="5" t="s">
        <v>279</v>
      </c>
      <c r="B190" s="5" t="s">
        <v>280</v>
      </c>
      <c r="C190" s="5">
        <v>97.22</v>
      </c>
      <c r="D190" s="5" t="s">
        <v>44</v>
      </c>
      <c r="E190" s="5">
        <v>21.1646674283346</v>
      </c>
      <c r="F190" s="5">
        <v>50.0</v>
      </c>
      <c r="G190" s="5">
        <f t="shared" si="2"/>
        <v>10.58233371</v>
      </c>
      <c r="H190" s="5">
        <v>8459.87430098123</v>
      </c>
      <c r="I190" s="5">
        <v>508.646306101033</v>
      </c>
      <c r="J190" s="5">
        <v>402.515803698373</v>
      </c>
      <c r="K190" s="5">
        <v>9371.036410780634</v>
      </c>
      <c r="L190" s="5">
        <f t="shared" si="3"/>
        <v>0.002258519389</v>
      </c>
      <c r="M190" s="5">
        <f t="shared" si="4"/>
        <v>0.001129259694</v>
      </c>
      <c r="N190" s="5">
        <f t="shared" si="5"/>
        <v>0.00250177091</v>
      </c>
      <c r="O190" s="5">
        <f t="shared" si="6"/>
        <v>0.04160979285</v>
      </c>
      <c r="P190" s="5">
        <f t="shared" si="7"/>
        <v>0.05258096014</v>
      </c>
      <c r="Q190" s="5">
        <f t="shared" si="8"/>
        <v>0.001250885455</v>
      </c>
      <c r="R190" s="5">
        <f t="shared" si="9"/>
        <v>0.02080489642</v>
      </c>
      <c r="S190" s="5">
        <f t="shared" ref="S190:T190" si="201">G190/J190</f>
        <v>0.02629048007</v>
      </c>
      <c r="T190" s="5">
        <f t="shared" si="201"/>
        <v>0.902768267</v>
      </c>
      <c r="U190" s="5">
        <f t="shared" si="11"/>
        <v>0.05427855403</v>
      </c>
      <c r="V190" s="5">
        <f t="shared" si="12"/>
        <v>0.04295317893</v>
      </c>
      <c r="W190" s="5">
        <f t="shared" si="13"/>
        <v>442.7679501</v>
      </c>
      <c r="X190" s="5">
        <f t="shared" si="14"/>
        <v>885.5359001</v>
      </c>
    </row>
    <row r="191" ht="15.75" customHeight="1">
      <c r="A191" s="5" t="s">
        <v>281</v>
      </c>
      <c r="B191" s="5" t="s">
        <v>98</v>
      </c>
      <c r="C191" s="5">
        <v>59.88</v>
      </c>
      <c r="D191" s="5" t="s">
        <v>71</v>
      </c>
      <c r="E191" s="5">
        <v>10.7406996405919</v>
      </c>
      <c r="F191" s="5">
        <v>45.0</v>
      </c>
      <c r="G191" s="5">
        <f t="shared" si="2"/>
        <v>4.833314838</v>
      </c>
      <c r="H191" s="5">
        <v>3545.39494981384</v>
      </c>
      <c r="I191" s="5">
        <v>313.340547896255</v>
      </c>
      <c r="J191" s="5">
        <v>466.549596791946</v>
      </c>
      <c r="K191" s="5">
        <v>4325.285094502041</v>
      </c>
      <c r="L191" s="5">
        <f t="shared" si="3"/>
        <v>0.002483235071</v>
      </c>
      <c r="M191" s="5">
        <f t="shared" si="4"/>
        <v>0.001117455782</v>
      </c>
      <c r="N191" s="5">
        <f t="shared" si="5"/>
        <v>0.003029479026</v>
      </c>
      <c r="O191" s="5">
        <f t="shared" si="6"/>
        <v>0.03427803938</v>
      </c>
      <c r="P191" s="5">
        <f t="shared" si="7"/>
        <v>0.02302156023</v>
      </c>
      <c r="Q191" s="5">
        <f t="shared" si="8"/>
        <v>0.001363265562</v>
      </c>
      <c r="R191" s="5">
        <f t="shared" si="9"/>
        <v>0.01542511772</v>
      </c>
      <c r="S191" s="5">
        <f t="shared" ref="S191:T191" si="202">G191/J191</f>
        <v>0.0103597021</v>
      </c>
      <c r="T191" s="5">
        <f t="shared" si="202"/>
        <v>0.8196904649</v>
      </c>
      <c r="U191" s="5">
        <f t="shared" si="11"/>
        <v>0.07244390625</v>
      </c>
      <c r="V191" s="5">
        <f t="shared" si="12"/>
        <v>0.1078656289</v>
      </c>
      <c r="W191" s="5">
        <f t="shared" si="13"/>
        <v>402.700498</v>
      </c>
      <c r="X191" s="5">
        <f t="shared" si="14"/>
        <v>894.8899956</v>
      </c>
    </row>
    <row r="192" ht="15.75" customHeight="1">
      <c r="A192" s="5" t="s">
        <v>282</v>
      </c>
      <c r="B192" s="5" t="s">
        <v>180</v>
      </c>
      <c r="C192" s="5">
        <v>100.0</v>
      </c>
      <c r="D192" s="5" t="s">
        <v>26</v>
      </c>
      <c r="E192" s="5">
        <v>17.09</v>
      </c>
      <c r="F192" s="5">
        <v>100.0</v>
      </c>
      <c r="G192" s="5">
        <f t="shared" si="2"/>
        <v>17.09</v>
      </c>
      <c r="H192" s="5">
        <v>14413.5181795973</v>
      </c>
      <c r="I192" s="5">
        <v>550.137096488856</v>
      </c>
      <c r="J192" s="5">
        <v>450.87441653157</v>
      </c>
      <c r="K192" s="5">
        <v>15414.52969261773</v>
      </c>
      <c r="L192" s="5">
        <f t="shared" si="3"/>
        <v>0.001108694222</v>
      </c>
      <c r="M192" s="5">
        <f t="shared" si="4"/>
        <v>0.001108694222</v>
      </c>
      <c r="N192" s="5">
        <f t="shared" si="5"/>
        <v>0.001185692472</v>
      </c>
      <c r="O192" s="5">
        <f t="shared" si="6"/>
        <v>0.03106498382</v>
      </c>
      <c r="P192" s="5">
        <f t="shared" si="7"/>
        <v>0.03790412446</v>
      </c>
      <c r="Q192" s="5">
        <f t="shared" si="8"/>
        <v>0.001185692472</v>
      </c>
      <c r="R192" s="5">
        <f t="shared" si="9"/>
        <v>0.03106498382</v>
      </c>
      <c r="S192" s="5">
        <f t="shared" ref="S192:T192" si="203">G192/J192</f>
        <v>0.03790412446</v>
      </c>
      <c r="T192" s="5">
        <f t="shared" si="203"/>
        <v>0.9350605219</v>
      </c>
      <c r="U192" s="5">
        <f t="shared" si="11"/>
        <v>0.03568951551</v>
      </c>
      <c r="V192" s="5">
        <f t="shared" si="12"/>
        <v>0.02924996257</v>
      </c>
      <c r="W192" s="5">
        <f t="shared" si="13"/>
        <v>901.9619481</v>
      </c>
      <c r="X192" s="5">
        <f t="shared" si="14"/>
        <v>901.9619481</v>
      </c>
    </row>
    <row r="193" ht="15.75" customHeight="1">
      <c r="A193" s="5" t="s">
        <v>283</v>
      </c>
      <c r="B193" s="5" t="s">
        <v>180</v>
      </c>
      <c r="C193" s="5">
        <v>100.0</v>
      </c>
      <c r="D193" s="5" t="s">
        <v>26</v>
      </c>
      <c r="E193" s="5">
        <v>16.7066666666667</v>
      </c>
      <c r="F193" s="5">
        <v>100.0</v>
      </c>
      <c r="G193" s="5">
        <f t="shared" si="2"/>
        <v>16.70666667</v>
      </c>
      <c r="H193" s="5">
        <v>14413.5181795973</v>
      </c>
      <c r="I193" s="5">
        <v>550.137096488856</v>
      </c>
      <c r="J193" s="5">
        <v>450.87441653157</v>
      </c>
      <c r="K193" s="5">
        <v>15414.52969261773</v>
      </c>
      <c r="L193" s="5">
        <f t="shared" si="3"/>
        <v>0.00108382591</v>
      </c>
      <c r="M193" s="5">
        <f t="shared" si="4"/>
        <v>0.00108382591</v>
      </c>
      <c r="N193" s="5">
        <f t="shared" si="5"/>
        <v>0.001159097068</v>
      </c>
      <c r="O193" s="5">
        <f t="shared" si="6"/>
        <v>0.03036818781</v>
      </c>
      <c r="P193" s="5">
        <f t="shared" si="7"/>
        <v>0.03705392467</v>
      </c>
      <c r="Q193" s="5">
        <f t="shared" si="8"/>
        <v>0.001159097068</v>
      </c>
      <c r="R193" s="5">
        <f t="shared" si="9"/>
        <v>0.03036818781</v>
      </c>
      <c r="S193" s="5">
        <f t="shared" ref="S193:T193" si="204">G193/J193</f>
        <v>0.03705392467</v>
      </c>
      <c r="T193" s="5">
        <f t="shared" si="204"/>
        <v>0.9350605219</v>
      </c>
      <c r="U193" s="5">
        <f t="shared" si="11"/>
        <v>0.03568951551</v>
      </c>
      <c r="V193" s="5">
        <f t="shared" si="12"/>
        <v>0.02924996257</v>
      </c>
      <c r="W193" s="5">
        <f t="shared" si="13"/>
        <v>922.6574038</v>
      </c>
      <c r="X193" s="5">
        <f t="shared" si="14"/>
        <v>922.6574038</v>
      </c>
    </row>
    <row r="194" ht="15.75" customHeight="1">
      <c r="A194" s="5" t="s">
        <v>284</v>
      </c>
      <c r="B194" s="5" t="s">
        <v>285</v>
      </c>
      <c r="C194" s="5">
        <v>55.83</v>
      </c>
      <c r="D194" s="5" t="s">
        <v>81</v>
      </c>
      <c r="E194" s="5">
        <v>22.4751801570257</v>
      </c>
      <c r="F194" s="5">
        <v>50.0</v>
      </c>
      <c r="G194" s="5">
        <f t="shared" si="2"/>
        <v>11.23759008</v>
      </c>
      <c r="H194" s="5">
        <v>8378.61528180012</v>
      </c>
      <c r="I194" s="5">
        <v>1156.09521839923</v>
      </c>
      <c r="J194" s="5">
        <v>890.673588374448</v>
      </c>
      <c r="K194" s="5">
        <v>10425.3840885738</v>
      </c>
      <c r="L194" s="5">
        <f t="shared" si="3"/>
        <v>0.002155813154</v>
      </c>
      <c r="M194" s="5">
        <f t="shared" si="4"/>
        <v>0.001077906577</v>
      </c>
      <c r="N194" s="5">
        <f t="shared" si="5"/>
        <v>0.002682445655</v>
      </c>
      <c r="O194" s="5">
        <f t="shared" si="6"/>
        <v>0.01944059607</v>
      </c>
      <c r="P194" s="5">
        <f t="shared" si="7"/>
        <v>0.02523391336</v>
      </c>
      <c r="Q194" s="5">
        <f t="shared" si="8"/>
        <v>0.001341222827</v>
      </c>
      <c r="R194" s="5">
        <f t="shared" si="9"/>
        <v>0.009720298034</v>
      </c>
      <c r="S194" s="5">
        <f t="shared" ref="S194:T194" si="205">G194/J194</f>
        <v>0.01261695668</v>
      </c>
      <c r="T194" s="5">
        <f t="shared" si="205"/>
        <v>0.803674494</v>
      </c>
      <c r="U194" s="5">
        <f t="shared" si="11"/>
        <v>0.1108923382</v>
      </c>
      <c r="V194" s="5">
        <f t="shared" si="12"/>
        <v>0.08543316781</v>
      </c>
      <c r="W194" s="5">
        <f t="shared" si="13"/>
        <v>463.8620921</v>
      </c>
      <c r="X194" s="5">
        <f t="shared" si="14"/>
        <v>927.7241843</v>
      </c>
    </row>
    <row r="195" ht="15.75" customHeight="1">
      <c r="A195" s="4" t="s">
        <v>286</v>
      </c>
      <c r="B195" s="4" t="s">
        <v>185</v>
      </c>
      <c r="C195" s="4">
        <v>50.66</v>
      </c>
      <c r="D195" s="4" t="s">
        <v>99</v>
      </c>
      <c r="E195" s="4">
        <v>6.27916666666667</v>
      </c>
      <c r="F195" s="4">
        <v>100.0</v>
      </c>
      <c r="G195" s="4">
        <f t="shared" si="2"/>
        <v>6.279166667</v>
      </c>
      <c r="H195" s="4">
        <v>5117.48219264964</v>
      </c>
      <c r="I195" s="4">
        <v>471.572712332384</v>
      </c>
      <c r="J195" s="4">
        <v>648.545040300868</v>
      </c>
      <c r="K195" s="4">
        <v>6237.599945282892</v>
      </c>
      <c r="L195" s="4">
        <f t="shared" si="3"/>
        <v>0.001006663897</v>
      </c>
      <c r="M195" s="4">
        <f t="shared" si="4"/>
        <v>0.001006663897</v>
      </c>
      <c r="N195" s="4">
        <f t="shared" si="5"/>
        <v>0.00122700313</v>
      </c>
      <c r="O195" s="4">
        <f t="shared" si="6"/>
        <v>0.01331537322</v>
      </c>
      <c r="P195" s="4">
        <f t="shared" si="7"/>
        <v>0.009681928434</v>
      </c>
      <c r="Q195" s="4">
        <f t="shared" si="8"/>
        <v>0.00122700313</v>
      </c>
      <c r="R195" s="4">
        <f t="shared" si="9"/>
        <v>0.01331537322</v>
      </c>
      <c r="S195" s="4">
        <f t="shared" ref="S195:T195" si="206">G195/J195</f>
        <v>0.009681928434</v>
      </c>
      <c r="T195" s="4">
        <f t="shared" si="206"/>
        <v>0.820424881</v>
      </c>
      <c r="U195" s="4">
        <f t="shared" si="11"/>
        <v>0.07560162827</v>
      </c>
      <c r="V195" s="4">
        <f t="shared" si="12"/>
        <v>0.1039734908</v>
      </c>
      <c r="W195" s="4">
        <f t="shared" si="13"/>
        <v>993.3802169</v>
      </c>
      <c r="X195" s="4">
        <f t="shared" si="14"/>
        <v>993.3802169</v>
      </c>
      <c r="Y195" s="4"/>
      <c r="Z195" s="4"/>
    </row>
    <row r="196" ht="15.75" customHeight="1">
      <c r="A196" s="3" t="s">
        <v>287</v>
      </c>
      <c r="B196" s="3" t="s">
        <v>288</v>
      </c>
      <c r="C196" s="3">
        <v>48.73</v>
      </c>
      <c r="D196" s="3" t="s">
        <v>71</v>
      </c>
      <c r="E196" s="3">
        <v>7.00833333333333</v>
      </c>
      <c r="F196" s="3">
        <v>45.0</v>
      </c>
      <c r="G196" s="3">
        <f t="shared" si="2"/>
        <v>3.15375</v>
      </c>
      <c r="H196" s="3">
        <v>2686.57859106538</v>
      </c>
      <c r="I196" s="3">
        <v>266.355805288872</v>
      </c>
      <c r="J196" s="3">
        <v>225.083431909091</v>
      </c>
      <c r="K196" s="3">
        <v>3178.017828263343</v>
      </c>
      <c r="L196" s="3">
        <f t="shared" si="3"/>
        <v>0.002205252995</v>
      </c>
      <c r="M196" s="3">
        <f t="shared" si="4"/>
        <v>0.0009923638477</v>
      </c>
      <c r="N196" s="3">
        <f t="shared" si="5"/>
        <v>0.002608646312</v>
      </c>
      <c r="O196" s="3">
        <f t="shared" si="6"/>
        <v>0.0263119226</v>
      </c>
      <c r="P196" s="3">
        <f t="shared" si="7"/>
        <v>0.03113660243</v>
      </c>
      <c r="Q196" s="3">
        <f t="shared" si="8"/>
        <v>0.00117389084</v>
      </c>
      <c r="R196" s="3">
        <f t="shared" si="9"/>
        <v>0.01184036517</v>
      </c>
      <c r="S196" s="3">
        <f t="shared" ref="S196:T196" si="207">G196/J196</f>
        <v>0.01401147109</v>
      </c>
      <c r="T196" s="3">
        <f t="shared" si="207"/>
        <v>0.8453629703</v>
      </c>
      <c r="U196" s="3">
        <f t="shared" si="11"/>
        <v>0.08381192922</v>
      </c>
      <c r="V196" s="3">
        <f t="shared" si="12"/>
        <v>0.07082510045</v>
      </c>
      <c r="W196" s="3">
        <f t="shared" si="13"/>
        <v>453.4627103</v>
      </c>
      <c r="X196" s="3">
        <f t="shared" si="14"/>
        <v>1007.694912</v>
      </c>
      <c r="Y196" s="3"/>
      <c r="Z196" s="3"/>
    </row>
    <row r="197" ht="15.75" customHeight="1">
      <c r="A197" s="5" t="s">
        <v>289</v>
      </c>
      <c r="B197" s="5" t="s">
        <v>90</v>
      </c>
      <c r="C197" s="5">
        <v>100.0</v>
      </c>
      <c r="D197" s="5" t="s">
        <v>71</v>
      </c>
      <c r="E197" s="5">
        <v>9.853399670283</v>
      </c>
      <c r="F197" s="5">
        <v>45.0</v>
      </c>
      <c r="G197" s="5">
        <f t="shared" si="2"/>
        <v>4.434029852</v>
      </c>
      <c r="H197" s="5">
        <v>4264.41046200854</v>
      </c>
      <c r="I197" s="5">
        <v>438.660008395035</v>
      </c>
      <c r="J197" s="5">
        <v>357.275288744589</v>
      </c>
      <c r="K197" s="5">
        <v>5060.345759148164</v>
      </c>
      <c r="L197" s="5">
        <f t="shared" si="3"/>
        <v>0.001947179133</v>
      </c>
      <c r="M197" s="5">
        <f t="shared" si="4"/>
        <v>0.0008762306101</v>
      </c>
      <c r="N197" s="5">
        <f t="shared" si="5"/>
        <v>0.002310612395</v>
      </c>
      <c r="O197" s="5">
        <f t="shared" si="6"/>
        <v>0.02246249825</v>
      </c>
      <c r="P197" s="5">
        <f t="shared" si="7"/>
        <v>0.02757929244</v>
      </c>
      <c r="Q197" s="5">
        <f t="shared" si="8"/>
        <v>0.001039775578</v>
      </c>
      <c r="R197" s="5">
        <f t="shared" si="9"/>
        <v>0.01010812421</v>
      </c>
      <c r="S197" s="5">
        <f t="shared" ref="S197:T197" si="208">G197/J197</f>
        <v>0.0124106816</v>
      </c>
      <c r="T197" s="5">
        <f t="shared" si="208"/>
        <v>0.842711282</v>
      </c>
      <c r="U197" s="5">
        <f t="shared" si="11"/>
        <v>0.08668577786</v>
      </c>
      <c r="V197" s="5">
        <f t="shared" si="12"/>
        <v>0.07060294014</v>
      </c>
      <c r="W197" s="5">
        <f t="shared" si="13"/>
        <v>513.5634328</v>
      </c>
      <c r="X197" s="5">
        <f t="shared" si="14"/>
        <v>1141.252073</v>
      </c>
    </row>
    <row r="198" ht="15.75" customHeight="1">
      <c r="A198" s="3" t="s">
        <v>290</v>
      </c>
      <c r="B198" s="3" t="s">
        <v>280</v>
      </c>
      <c r="C198" s="3">
        <v>57.22</v>
      </c>
      <c r="D198" s="3" t="s">
        <v>81</v>
      </c>
      <c r="E198" s="3">
        <v>15.9958333333333</v>
      </c>
      <c r="F198" s="3">
        <v>50.0</v>
      </c>
      <c r="G198" s="3">
        <f t="shared" si="2"/>
        <v>7.997916667</v>
      </c>
      <c r="H198" s="3">
        <v>8459.87430098123</v>
      </c>
      <c r="I198" s="3">
        <v>508.646306101033</v>
      </c>
      <c r="J198" s="3">
        <v>402.515803698373</v>
      </c>
      <c r="K198" s="3">
        <v>9371.036410780634</v>
      </c>
      <c r="L198" s="3">
        <f t="shared" si="3"/>
        <v>0.001706943889</v>
      </c>
      <c r="M198" s="3">
        <f t="shared" si="4"/>
        <v>0.0008534719444</v>
      </c>
      <c r="N198" s="3">
        <f t="shared" si="5"/>
        <v>0.001890788535</v>
      </c>
      <c r="O198" s="3">
        <f t="shared" si="6"/>
        <v>0.03144785117</v>
      </c>
      <c r="P198" s="3">
        <f t="shared" si="7"/>
        <v>0.0397396405</v>
      </c>
      <c r="Q198" s="3">
        <f t="shared" si="8"/>
        <v>0.0009453942674</v>
      </c>
      <c r="R198" s="3">
        <f t="shared" si="9"/>
        <v>0.01572392559</v>
      </c>
      <c r="S198" s="3">
        <f t="shared" ref="S198:T198" si="209">G198/J198</f>
        <v>0.01986982025</v>
      </c>
      <c r="T198" s="3">
        <f t="shared" si="209"/>
        <v>0.902768267</v>
      </c>
      <c r="U198" s="3">
        <f t="shared" si="11"/>
        <v>0.05427855403</v>
      </c>
      <c r="V198" s="3">
        <f t="shared" si="12"/>
        <v>0.04295317893</v>
      </c>
      <c r="W198" s="3">
        <f t="shared" si="13"/>
        <v>585.8423388</v>
      </c>
      <c r="X198" s="3">
        <f t="shared" si="14"/>
        <v>1171.684678</v>
      </c>
      <c r="Y198" s="3"/>
      <c r="Z198" s="3"/>
    </row>
    <row r="199" ht="15.75" customHeight="1">
      <c r="A199" s="5" t="s">
        <v>291</v>
      </c>
      <c r="B199" s="5" t="s">
        <v>180</v>
      </c>
      <c r="C199" s="5">
        <v>100.0</v>
      </c>
      <c r="D199" s="5" t="s">
        <v>26</v>
      </c>
      <c r="E199" s="5">
        <v>12.3125</v>
      </c>
      <c r="F199" s="5">
        <v>100.0</v>
      </c>
      <c r="G199" s="5">
        <f t="shared" si="2"/>
        <v>12.3125</v>
      </c>
      <c r="H199" s="5">
        <v>14413.5181795973</v>
      </c>
      <c r="I199" s="5">
        <v>550.137096488856</v>
      </c>
      <c r="J199" s="5">
        <v>450.87441653157</v>
      </c>
      <c r="K199" s="5">
        <v>15414.52969261773</v>
      </c>
      <c r="L199" s="5">
        <f t="shared" si="3"/>
        <v>0.0007987593683</v>
      </c>
      <c r="M199" s="5">
        <f t="shared" si="4"/>
        <v>0.0007987593683</v>
      </c>
      <c r="N199" s="5">
        <f t="shared" si="5"/>
        <v>0.0008542328005</v>
      </c>
      <c r="O199" s="5">
        <f t="shared" si="6"/>
        <v>0.02238078486</v>
      </c>
      <c r="P199" s="5">
        <f t="shared" si="7"/>
        <v>0.02730804754</v>
      </c>
      <c r="Q199" s="5">
        <f t="shared" si="8"/>
        <v>0.0008542328005</v>
      </c>
      <c r="R199" s="5">
        <f t="shared" si="9"/>
        <v>0.02238078486</v>
      </c>
      <c r="S199" s="5">
        <f t="shared" ref="S199:T199" si="210">G199/J199</f>
        <v>0.02730804754</v>
      </c>
      <c r="T199" s="5">
        <f t="shared" si="210"/>
        <v>0.9350605219</v>
      </c>
      <c r="U199" s="5">
        <f t="shared" si="11"/>
        <v>0.03568951551</v>
      </c>
      <c r="V199" s="5">
        <f t="shared" si="12"/>
        <v>0.02924996257</v>
      </c>
      <c r="W199" s="5">
        <f t="shared" si="13"/>
        <v>1251.941498</v>
      </c>
      <c r="X199" s="5">
        <f t="shared" si="14"/>
        <v>1251.941498</v>
      </c>
    </row>
    <row r="200" ht="15.75" customHeight="1">
      <c r="A200" s="5" t="s">
        <v>292</v>
      </c>
      <c r="B200" s="5" t="s">
        <v>90</v>
      </c>
      <c r="C200" s="5">
        <v>100.0</v>
      </c>
      <c r="D200" s="5" t="s">
        <v>71</v>
      </c>
      <c r="E200" s="5">
        <v>8.70959970855713</v>
      </c>
      <c r="F200" s="5">
        <v>45.0</v>
      </c>
      <c r="G200" s="5">
        <f t="shared" si="2"/>
        <v>3.919319869</v>
      </c>
      <c r="H200" s="5">
        <v>4264.41046200854</v>
      </c>
      <c r="I200" s="5">
        <v>438.660008395035</v>
      </c>
      <c r="J200" s="5">
        <v>357.275288744589</v>
      </c>
      <c r="K200" s="5">
        <v>5060.345759148164</v>
      </c>
      <c r="L200" s="5">
        <f t="shared" si="3"/>
        <v>0.001721147155</v>
      </c>
      <c r="M200" s="5">
        <f t="shared" si="4"/>
        <v>0.0007745162199</v>
      </c>
      <c r="N200" s="5">
        <f t="shared" si="5"/>
        <v>0.002042392445</v>
      </c>
      <c r="O200" s="5">
        <f t="shared" si="6"/>
        <v>0.01985501195</v>
      </c>
      <c r="P200" s="5">
        <f t="shared" si="7"/>
        <v>0.02437783967</v>
      </c>
      <c r="Q200" s="5">
        <f t="shared" si="8"/>
        <v>0.0009190766001</v>
      </c>
      <c r="R200" s="5">
        <f t="shared" si="9"/>
        <v>0.008934755377</v>
      </c>
      <c r="S200" s="5">
        <f t="shared" ref="S200:T200" si="211">G200/J200</f>
        <v>0.01097002785</v>
      </c>
      <c r="T200" s="5">
        <f t="shared" si="211"/>
        <v>0.842711282</v>
      </c>
      <c r="U200" s="5">
        <f t="shared" si="11"/>
        <v>0.08668577786</v>
      </c>
      <c r="V200" s="5">
        <f t="shared" si="12"/>
        <v>0.07060294014</v>
      </c>
      <c r="W200" s="5">
        <f t="shared" si="13"/>
        <v>581.0078452</v>
      </c>
      <c r="X200" s="5">
        <f t="shared" si="14"/>
        <v>1291.128545</v>
      </c>
    </row>
    <row r="201" ht="15.75" customHeight="1">
      <c r="A201" s="3" t="s">
        <v>293</v>
      </c>
      <c r="B201" s="3" t="s">
        <v>294</v>
      </c>
      <c r="C201" s="3">
        <v>41.55</v>
      </c>
      <c r="D201" s="3" t="s">
        <v>26</v>
      </c>
      <c r="E201" s="3">
        <v>11.9520833333333</v>
      </c>
      <c r="F201" s="3">
        <v>100.0</v>
      </c>
      <c r="G201" s="3">
        <f t="shared" si="2"/>
        <v>11.95208333</v>
      </c>
      <c r="H201" s="3">
        <v>14853.2223652301</v>
      </c>
      <c r="I201" s="3">
        <v>40.9916567160165</v>
      </c>
      <c r="J201" s="3">
        <v>631.794759444433</v>
      </c>
      <c r="K201" s="3">
        <v>15526.00878139055</v>
      </c>
      <c r="L201" s="3">
        <f t="shared" si="3"/>
        <v>0.0007698104195</v>
      </c>
      <c r="M201" s="3">
        <f t="shared" si="4"/>
        <v>0.0007698104195</v>
      </c>
      <c r="N201" s="3">
        <f t="shared" si="5"/>
        <v>0.0008046794857</v>
      </c>
      <c r="O201" s="3">
        <f t="shared" si="6"/>
        <v>0.2915735613</v>
      </c>
      <c r="P201" s="3">
        <f t="shared" si="7"/>
        <v>0.01891766773</v>
      </c>
      <c r="Q201" s="3">
        <f t="shared" si="8"/>
        <v>0.0008046794857</v>
      </c>
      <c r="R201" s="3">
        <f t="shared" si="9"/>
        <v>0.2915735613</v>
      </c>
      <c r="S201" s="3">
        <f t="shared" ref="S201:T201" si="212">G201/J201</f>
        <v>0.01891766773</v>
      </c>
      <c r="T201" s="3">
        <f t="shared" si="212"/>
        <v>0.9566671367</v>
      </c>
      <c r="U201" s="3">
        <f t="shared" si="11"/>
        <v>0.002640192808</v>
      </c>
      <c r="V201" s="3">
        <f t="shared" si="12"/>
        <v>0.0406926705</v>
      </c>
      <c r="W201" s="3">
        <f t="shared" si="13"/>
        <v>1299.021129</v>
      </c>
      <c r="X201" s="3">
        <f t="shared" si="14"/>
        <v>1299.021129</v>
      </c>
      <c r="Y201" s="3"/>
      <c r="Z201" s="3"/>
    </row>
    <row r="202" ht="15.75" customHeight="1">
      <c r="A202" s="4" t="s">
        <v>295</v>
      </c>
      <c r="B202" s="4" t="s">
        <v>280</v>
      </c>
      <c r="C202" s="4">
        <v>63.55</v>
      </c>
      <c r="D202" s="4" t="s">
        <v>44</v>
      </c>
      <c r="E202" s="4">
        <v>14.0838671735128</v>
      </c>
      <c r="F202" s="4">
        <v>50.0</v>
      </c>
      <c r="G202" s="4">
        <f t="shared" si="2"/>
        <v>7.041933587</v>
      </c>
      <c r="H202" s="4">
        <v>8459.87430098123</v>
      </c>
      <c r="I202" s="4">
        <v>508.646306101033</v>
      </c>
      <c r="J202" s="4">
        <v>402.515803698373</v>
      </c>
      <c r="K202" s="4">
        <v>9371.036410780634</v>
      </c>
      <c r="L202" s="4">
        <f t="shared" si="3"/>
        <v>0.001502914572</v>
      </c>
      <c r="M202" s="4">
        <f t="shared" si="4"/>
        <v>0.0007514572858</v>
      </c>
      <c r="N202" s="4">
        <f t="shared" si="5"/>
        <v>0.001664784449</v>
      </c>
      <c r="O202" s="4">
        <f t="shared" si="6"/>
        <v>0.02768892058</v>
      </c>
      <c r="P202" s="4">
        <f t="shared" si="7"/>
        <v>0.03498960052</v>
      </c>
      <c r="Q202" s="4">
        <f t="shared" si="8"/>
        <v>0.0008323922243</v>
      </c>
      <c r="R202" s="4">
        <f t="shared" si="9"/>
        <v>0.01384446029</v>
      </c>
      <c r="S202" s="4">
        <f t="shared" ref="S202:T202" si="213">G202/J202</f>
        <v>0.01749480026</v>
      </c>
      <c r="T202" s="4">
        <f t="shared" si="213"/>
        <v>0.902768267</v>
      </c>
      <c r="U202" s="4">
        <f t="shared" si="11"/>
        <v>0.05427855403</v>
      </c>
      <c r="V202" s="4">
        <f t="shared" si="12"/>
        <v>0.04295317893</v>
      </c>
      <c r="W202" s="4">
        <f t="shared" si="13"/>
        <v>665.3738136</v>
      </c>
      <c r="X202" s="4">
        <f t="shared" si="14"/>
        <v>1330.747627</v>
      </c>
      <c r="Y202" s="4"/>
      <c r="Z202" s="4"/>
    </row>
    <row r="203" ht="15.75" customHeight="1">
      <c r="A203" s="3" t="s">
        <v>296</v>
      </c>
      <c r="B203" s="3" t="s">
        <v>297</v>
      </c>
      <c r="C203" s="3">
        <v>48.48</v>
      </c>
      <c r="D203" s="3" t="s">
        <v>71</v>
      </c>
      <c r="E203" s="3">
        <v>10.0551304347826</v>
      </c>
      <c r="F203" s="3">
        <v>45.0</v>
      </c>
      <c r="G203" s="3">
        <f t="shared" si="2"/>
        <v>4.524808696</v>
      </c>
      <c r="H203" s="3">
        <v>5007.32112783722</v>
      </c>
      <c r="I203" s="3">
        <v>473.512578463334</v>
      </c>
      <c r="J203" s="3">
        <v>634.584188161319</v>
      </c>
      <c r="K203" s="3">
        <v>6115.417894461872</v>
      </c>
      <c r="L203" s="3">
        <f t="shared" si="3"/>
        <v>0.001644226218</v>
      </c>
      <c r="M203" s="3">
        <f t="shared" si="4"/>
        <v>0.000739901798</v>
      </c>
      <c r="N203" s="3">
        <f t="shared" si="5"/>
        <v>0.002008085796</v>
      </c>
      <c r="O203" s="3">
        <f t="shared" si="6"/>
        <v>0.02123519182</v>
      </c>
      <c r="P203" s="3">
        <f t="shared" si="7"/>
        <v>0.01584522688</v>
      </c>
      <c r="Q203" s="3">
        <f t="shared" si="8"/>
        <v>0.0009036386084</v>
      </c>
      <c r="R203" s="3">
        <f t="shared" si="9"/>
        <v>0.009555836321</v>
      </c>
      <c r="S203" s="3">
        <f t="shared" ref="S203:T203" si="214">G203/J203</f>
        <v>0.007130352095</v>
      </c>
      <c r="T203" s="3">
        <f t="shared" si="214"/>
        <v>0.8188027726</v>
      </c>
      <c r="U203" s="3">
        <f t="shared" si="11"/>
        <v>0.07742930845</v>
      </c>
      <c r="V203" s="3">
        <f t="shared" si="12"/>
        <v>0.1037679189</v>
      </c>
      <c r="W203" s="3">
        <f t="shared" si="13"/>
        <v>608.188818</v>
      </c>
      <c r="X203" s="3">
        <f t="shared" si="14"/>
        <v>1351.530707</v>
      </c>
      <c r="Y203" s="3"/>
      <c r="Z203" s="3"/>
    </row>
    <row r="204" ht="15.75" customHeight="1">
      <c r="A204" s="5" t="s">
        <v>298</v>
      </c>
      <c r="B204" s="5" t="s">
        <v>299</v>
      </c>
      <c r="C204" s="5">
        <v>59.09</v>
      </c>
      <c r="D204" s="5" t="s">
        <v>50</v>
      </c>
      <c r="E204" s="5">
        <v>6.14375</v>
      </c>
      <c r="F204" s="5">
        <v>60.0</v>
      </c>
      <c r="G204" s="5">
        <f t="shared" si="2"/>
        <v>3.68625</v>
      </c>
      <c r="H204" s="5">
        <v>3944.78338945685</v>
      </c>
      <c r="I204" s="5">
        <v>124.862539509917</v>
      </c>
      <c r="J204" s="5">
        <v>983.16849244248</v>
      </c>
      <c r="K204" s="5">
        <v>5052.814421409247</v>
      </c>
      <c r="L204" s="5">
        <f t="shared" si="3"/>
        <v>0.00121590652</v>
      </c>
      <c r="M204" s="5">
        <f t="shared" si="4"/>
        <v>0.0007295439121</v>
      </c>
      <c r="N204" s="5">
        <f t="shared" si="5"/>
        <v>0.001557436592</v>
      </c>
      <c r="O204" s="5">
        <f t="shared" si="6"/>
        <v>0.04920410897</v>
      </c>
      <c r="P204" s="5">
        <f t="shared" si="7"/>
        <v>0.006248928894</v>
      </c>
      <c r="Q204" s="5">
        <f t="shared" si="8"/>
        <v>0.0009344619555</v>
      </c>
      <c r="R204" s="5">
        <f t="shared" si="9"/>
        <v>0.02952246538</v>
      </c>
      <c r="S204" s="5">
        <f t="shared" ref="S204:T204" si="215">G204/J204</f>
        <v>0.003749357336</v>
      </c>
      <c r="T204" s="5">
        <f t="shared" si="215"/>
        <v>0.7807101272</v>
      </c>
      <c r="U204" s="5">
        <f t="shared" si="11"/>
        <v>0.02471148336</v>
      </c>
      <c r="V204" s="5">
        <f t="shared" si="12"/>
        <v>0.1945783895</v>
      </c>
      <c r="W204" s="5">
        <f t="shared" si="13"/>
        <v>822.4316454</v>
      </c>
      <c r="X204" s="5">
        <f t="shared" si="14"/>
        <v>1370.719409</v>
      </c>
    </row>
    <row r="205" ht="15.75" customHeight="1">
      <c r="A205" s="5" t="s">
        <v>300</v>
      </c>
      <c r="B205" s="5" t="s">
        <v>301</v>
      </c>
      <c r="C205" s="5">
        <v>88.03</v>
      </c>
      <c r="D205" s="5" t="s">
        <v>44</v>
      </c>
      <c r="E205" s="5">
        <v>18.5093673327764</v>
      </c>
      <c r="F205" s="5">
        <v>50.0</v>
      </c>
      <c r="G205" s="5">
        <f t="shared" si="2"/>
        <v>9.254683666</v>
      </c>
      <c r="H205" s="5">
        <v>12853.0872266462</v>
      </c>
      <c r="I205" s="5">
        <v>921.100511875167</v>
      </c>
      <c r="J205" s="5">
        <v>444.127631656628</v>
      </c>
      <c r="K205" s="5">
        <v>14218.31537017799</v>
      </c>
      <c r="L205" s="5">
        <f t="shared" si="3"/>
        <v>0.001301797495</v>
      </c>
      <c r="M205" s="5">
        <f t="shared" si="4"/>
        <v>0.0006508987475</v>
      </c>
      <c r="N205" s="5">
        <f t="shared" si="5"/>
        <v>0.001440071712</v>
      </c>
      <c r="O205" s="5">
        <f t="shared" si="6"/>
        <v>0.02009483992</v>
      </c>
      <c r="P205" s="5">
        <f t="shared" si="7"/>
        <v>0.0416757842</v>
      </c>
      <c r="Q205" s="5">
        <f t="shared" si="8"/>
        <v>0.0007200358562</v>
      </c>
      <c r="R205" s="5">
        <f t="shared" si="9"/>
        <v>0.01004741996</v>
      </c>
      <c r="S205" s="5">
        <f t="shared" ref="S205:T205" si="216">G205/J205</f>
        <v>0.0208378921</v>
      </c>
      <c r="T205" s="5">
        <f t="shared" si="216"/>
        <v>0.9039810197</v>
      </c>
      <c r="U205" s="5">
        <f t="shared" si="11"/>
        <v>0.06478267558</v>
      </c>
      <c r="V205" s="5">
        <f t="shared" si="12"/>
        <v>0.03123630473</v>
      </c>
      <c r="W205" s="5">
        <f t="shared" si="13"/>
        <v>768.1686313</v>
      </c>
      <c r="X205" s="5">
        <f t="shared" si="14"/>
        <v>1536.337263</v>
      </c>
    </row>
    <row r="206" ht="15.75" customHeight="1">
      <c r="A206" s="5" t="s">
        <v>302</v>
      </c>
      <c r="B206" s="5" t="s">
        <v>178</v>
      </c>
      <c r="C206" s="5">
        <v>89.75</v>
      </c>
      <c r="D206" s="5" t="s">
        <v>50</v>
      </c>
      <c r="E206" s="5">
        <v>6.31041666666667</v>
      </c>
      <c r="F206" s="5">
        <v>60.0</v>
      </c>
      <c r="G206" s="5">
        <f t="shared" si="2"/>
        <v>3.78625</v>
      </c>
      <c r="H206" s="5">
        <v>4324.33203550365</v>
      </c>
      <c r="I206" s="5">
        <v>489.379450121911</v>
      </c>
      <c r="J206" s="5">
        <v>1059.93252766118</v>
      </c>
      <c r="K206" s="5">
        <v>5873.644013286741</v>
      </c>
      <c r="L206" s="5">
        <f t="shared" si="3"/>
        <v>0.001074361445</v>
      </c>
      <c r="M206" s="5">
        <f t="shared" si="4"/>
        <v>0.0006446168667</v>
      </c>
      <c r="N206" s="5">
        <f t="shared" si="5"/>
        <v>0.001459281252</v>
      </c>
      <c r="O206" s="5">
        <f t="shared" si="6"/>
        <v>0.01289473161</v>
      </c>
      <c r="P206" s="5">
        <f t="shared" si="7"/>
        <v>0.005953602236</v>
      </c>
      <c r="Q206" s="5">
        <f t="shared" si="8"/>
        <v>0.0008755687512</v>
      </c>
      <c r="R206" s="5">
        <f t="shared" si="9"/>
        <v>0.007736838968</v>
      </c>
      <c r="S206" s="5">
        <f t="shared" ref="S206:T206" si="217">G206/J206</f>
        <v>0.003572161342</v>
      </c>
      <c r="T206" s="5">
        <f t="shared" si="217"/>
        <v>0.7362264423</v>
      </c>
      <c r="U206" s="5">
        <f t="shared" si="11"/>
        <v>0.08331786009</v>
      </c>
      <c r="V206" s="5">
        <f t="shared" si="12"/>
        <v>0.1804556976</v>
      </c>
      <c r="W206" s="5">
        <f t="shared" si="13"/>
        <v>930.7854494</v>
      </c>
      <c r="X206" s="5">
        <f t="shared" si="14"/>
        <v>1551.309082</v>
      </c>
    </row>
    <row r="207" ht="15.75" customHeight="1">
      <c r="A207" s="3" t="s">
        <v>303</v>
      </c>
      <c r="B207" s="3" t="s">
        <v>304</v>
      </c>
      <c r="C207" s="3">
        <v>44.8</v>
      </c>
      <c r="D207" s="3" t="s">
        <v>26</v>
      </c>
      <c r="E207" s="3">
        <v>14.8895833333333</v>
      </c>
      <c r="F207" s="3">
        <v>100.0</v>
      </c>
      <c r="G207" s="3">
        <f t="shared" si="2"/>
        <v>14.88958333</v>
      </c>
      <c r="H207" s="3">
        <v>23344.6619954924</v>
      </c>
      <c r="I207" s="3">
        <v>26.475290797878</v>
      </c>
      <c r="J207" s="3">
        <v>19.4626248533172</v>
      </c>
      <c r="K207" s="3">
        <v>23390.59991114359</v>
      </c>
      <c r="L207" s="3">
        <f t="shared" si="3"/>
        <v>0.0006365626957</v>
      </c>
      <c r="M207" s="3">
        <f t="shared" si="4"/>
        <v>0.0006365626957</v>
      </c>
      <c r="N207" s="3">
        <f t="shared" si="5"/>
        <v>0.0006378153317</v>
      </c>
      <c r="O207" s="3">
        <f t="shared" si="6"/>
        <v>0.5623954595</v>
      </c>
      <c r="P207" s="3">
        <f t="shared" si="7"/>
        <v>0.7650346983</v>
      </c>
      <c r="Q207" s="3">
        <f t="shared" si="8"/>
        <v>0.0006378153317</v>
      </c>
      <c r="R207" s="3">
        <f t="shared" si="9"/>
        <v>0.5623954595</v>
      </c>
      <c r="S207" s="3">
        <f t="shared" ref="S207:T207" si="218">G207/J207</f>
        <v>0.7650346983</v>
      </c>
      <c r="T207" s="3">
        <f t="shared" si="218"/>
        <v>0.9980360523</v>
      </c>
      <c r="U207" s="3">
        <f t="shared" si="11"/>
        <v>0.001131877374</v>
      </c>
      <c r="V207" s="3">
        <f t="shared" si="12"/>
        <v>0.0008320703585</v>
      </c>
      <c r="W207" s="3">
        <f t="shared" si="13"/>
        <v>1570.93717</v>
      </c>
      <c r="X207" s="3">
        <f t="shared" si="14"/>
        <v>1570.93717</v>
      </c>
      <c r="Y207" s="3"/>
      <c r="Z207" s="3"/>
    </row>
    <row r="208" ht="15.75" customHeight="1">
      <c r="A208" s="3" t="s">
        <v>305</v>
      </c>
      <c r="B208" s="3" t="s">
        <v>161</v>
      </c>
      <c r="C208" s="3">
        <v>38.69</v>
      </c>
      <c r="D208" s="3" t="s">
        <v>306</v>
      </c>
      <c r="E208" s="3">
        <v>8.67083333333333</v>
      </c>
      <c r="F208" s="3">
        <v>50.0</v>
      </c>
      <c r="G208" s="3">
        <f t="shared" si="2"/>
        <v>4.335416667</v>
      </c>
      <c r="H208" s="3">
        <v>6111.6591835295</v>
      </c>
      <c r="I208" s="3">
        <v>707.855170050178</v>
      </c>
      <c r="J208" s="3">
        <v>221.834128492978</v>
      </c>
      <c r="K208" s="3">
        <v>7041.348482072656</v>
      </c>
      <c r="L208" s="3">
        <f t="shared" si="3"/>
        <v>0.00123141659</v>
      </c>
      <c r="M208" s="3">
        <f t="shared" si="4"/>
        <v>0.0006157082948</v>
      </c>
      <c r="N208" s="3">
        <f t="shared" si="5"/>
        <v>0.001418736398</v>
      </c>
      <c r="O208" s="3">
        <f t="shared" si="6"/>
        <v>0.01224944551</v>
      </c>
      <c r="P208" s="3">
        <f t="shared" si="7"/>
        <v>0.03908701241</v>
      </c>
      <c r="Q208" s="3">
        <f t="shared" si="8"/>
        <v>0.0007093681988</v>
      </c>
      <c r="R208" s="3">
        <f t="shared" si="9"/>
        <v>0.006124722754</v>
      </c>
      <c r="S208" s="3">
        <f t="shared" ref="S208:T208" si="219">G208/J208</f>
        <v>0.0195435062</v>
      </c>
      <c r="T208" s="3">
        <f t="shared" si="219"/>
        <v>0.8679671513</v>
      </c>
      <c r="U208" s="3">
        <f t="shared" si="11"/>
        <v>0.1005283536</v>
      </c>
      <c r="V208" s="3">
        <f t="shared" si="12"/>
        <v>0.03150449506</v>
      </c>
      <c r="W208" s="3">
        <f t="shared" si="13"/>
        <v>812.0728667</v>
      </c>
      <c r="X208" s="3">
        <f t="shared" si="14"/>
        <v>1624.145733</v>
      </c>
      <c r="Y208" s="3"/>
      <c r="Z208" s="3"/>
    </row>
    <row r="209" ht="15.75" customHeight="1">
      <c r="A209" s="3" t="s">
        <v>307</v>
      </c>
      <c r="B209" s="3" t="s">
        <v>308</v>
      </c>
      <c r="C209" s="3">
        <v>56.51</v>
      </c>
      <c r="D209" s="3" t="s">
        <v>36</v>
      </c>
      <c r="E209" s="3">
        <v>26.1416666666667</v>
      </c>
      <c r="F209" s="3">
        <v>100.0</v>
      </c>
      <c r="G209" s="3">
        <f t="shared" si="2"/>
        <v>26.14166667</v>
      </c>
      <c r="H209" s="3">
        <v>47366.8164015763</v>
      </c>
      <c r="I209" s="3">
        <v>3174.72852783312</v>
      </c>
      <c r="J209" s="3">
        <v>1236.98204220237</v>
      </c>
      <c r="K209" s="3">
        <v>51778.52697161179</v>
      </c>
      <c r="L209" s="3">
        <f t="shared" si="3"/>
        <v>0.000504874669</v>
      </c>
      <c r="M209" s="3">
        <f t="shared" si="4"/>
        <v>0.000504874669</v>
      </c>
      <c r="N209" s="3">
        <f t="shared" si="5"/>
        <v>0.0005518983257</v>
      </c>
      <c r="O209" s="3">
        <f t="shared" si="6"/>
        <v>0.008234299858</v>
      </c>
      <c r="P209" s="3">
        <f t="shared" si="7"/>
        <v>0.02113342456</v>
      </c>
      <c r="Q209" s="3">
        <f t="shared" si="8"/>
        <v>0.0005518983257</v>
      </c>
      <c r="R209" s="3">
        <f t="shared" si="9"/>
        <v>0.008234299858</v>
      </c>
      <c r="S209" s="3">
        <f t="shared" ref="S209:T209" si="220">G209/J209</f>
        <v>0.02113342456</v>
      </c>
      <c r="T209" s="3">
        <f t="shared" si="220"/>
        <v>0.9147965223</v>
      </c>
      <c r="U209" s="3">
        <f t="shared" si="11"/>
        <v>0.06131361229</v>
      </c>
      <c r="V209" s="3">
        <f t="shared" si="12"/>
        <v>0.02388986544</v>
      </c>
      <c r="W209" s="3">
        <f t="shared" si="13"/>
        <v>1980.689588</v>
      </c>
      <c r="X209" s="3">
        <f t="shared" si="14"/>
        <v>1980.689588</v>
      </c>
      <c r="Y209" s="3"/>
      <c r="Z209" s="3"/>
    </row>
    <row r="210" ht="15.75" customHeight="1">
      <c r="A210" s="3" t="s">
        <v>309</v>
      </c>
      <c r="B210" s="3" t="s">
        <v>111</v>
      </c>
      <c r="C210" s="3">
        <v>41.38</v>
      </c>
      <c r="D210" s="3" t="s">
        <v>71</v>
      </c>
      <c r="E210" s="3">
        <v>6.0192</v>
      </c>
      <c r="F210" s="3">
        <v>45.0</v>
      </c>
      <c r="G210" s="3">
        <f t="shared" si="2"/>
        <v>2.70864</v>
      </c>
      <c r="H210" s="3">
        <v>4694.70005807842</v>
      </c>
      <c r="I210" s="3">
        <v>465.44724904672</v>
      </c>
      <c r="J210" s="3">
        <v>393.325251816683</v>
      </c>
      <c r="K210" s="3">
        <v>5553.472558941822</v>
      </c>
      <c r="L210" s="3">
        <f t="shared" si="3"/>
        <v>0.001083862383</v>
      </c>
      <c r="M210" s="3">
        <f t="shared" si="4"/>
        <v>0.0004877380722</v>
      </c>
      <c r="N210" s="3">
        <f t="shared" si="5"/>
        <v>0.001282126638</v>
      </c>
      <c r="O210" s="3">
        <f t="shared" si="6"/>
        <v>0.01293207772</v>
      </c>
      <c r="P210" s="3">
        <f t="shared" si="7"/>
        <v>0.01530336527</v>
      </c>
      <c r="Q210" s="3">
        <f t="shared" si="8"/>
        <v>0.0005769569869</v>
      </c>
      <c r="R210" s="3">
        <f t="shared" si="9"/>
        <v>0.005819434975</v>
      </c>
      <c r="S210" s="3">
        <f t="shared" ref="S210:T210" si="221">G210/J210</f>
        <v>0.006886514373</v>
      </c>
      <c r="T210" s="3">
        <f t="shared" si="221"/>
        <v>0.8453629703</v>
      </c>
      <c r="U210" s="3">
        <f t="shared" si="11"/>
        <v>0.08381192922</v>
      </c>
      <c r="V210" s="3">
        <f t="shared" si="12"/>
        <v>0.07082510045</v>
      </c>
      <c r="W210" s="3">
        <f t="shared" si="13"/>
        <v>922.6263555</v>
      </c>
      <c r="X210" s="3">
        <f t="shared" si="14"/>
        <v>2050.28079</v>
      </c>
      <c r="Y210" s="3"/>
      <c r="Z210" s="3"/>
    </row>
    <row r="211" ht="15.75" customHeight="1">
      <c r="A211" s="6" t="s">
        <v>310</v>
      </c>
      <c r="B211" s="6" t="s">
        <v>311</v>
      </c>
      <c r="C211" s="6">
        <v>63.31</v>
      </c>
      <c r="D211" s="6" t="s">
        <v>44</v>
      </c>
      <c r="E211" s="6">
        <v>14.7</v>
      </c>
      <c r="F211" s="6">
        <v>50.0</v>
      </c>
      <c r="G211" s="6">
        <f t="shared" si="2"/>
        <v>7.35</v>
      </c>
      <c r="H211" s="6">
        <v>15248.5200942959</v>
      </c>
      <c r="I211" s="6">
        <v>116.479852939832</v>
      </c>
      <c r="J211" s="6">
        <v>531.673338462551</v>
      </c>
      <c r="K211" s="6">
        <v>15896.67328569828</v>
      </c>
      <c r="L211" s="6">
        <f t="shared" si="3"/>
        <v>0.0009247217789</v>
      </c>
      <c r="M211" s="6">
        <f t="shared" si="4"/>
        <v>0.0004623608895</v>
      </c>
      <c r="N211" s="6">
        <f t="shared" si="5"/>
        <v>0.0009640279784</v>
      </c>
      <c r="O211" s="6">
        <f t="shared" si="6"/>
        <v>0.1262020824</v>
      </c>
      <c r="P211" s="6">
        <f t="shared" si="7"/>
        <v>0.02764855586</v>
      </c>
      <c r="Q211" s="6">
        <f t="shared" si="8"/>
        <v>0.0004820139892</v>
      </c>
      <c r="R211" s="6">
        <f t="shared" si="9"/>
        <v>0.06310104121</v>
      </c>
      <c r="S211" s="6">
        <f t="shared" ref="S211:T211" si="222">G211/J211</f>
        <v>0.01382427793</v>
      </c>
      <c r="T211" s="6">
        <f t="shared" si="222"/>
        <v>0.9592271175</v>
      </c>
      <c r="U211" s="6">
        <f t="shared" si="11"/>
        <v>0.007327309988</v>
      </c>
      <c r="V211" s="6">
        <f t="shared" si="12"/>
        <v>0.03344557247</v>
      </c>
      <c r="W211" s="6">
        <f t="shared" si="13"/>
        <v>1081.406346</v>
      </c>
      <c r="X211" s="6">
        <f t="shared" si="14"/>
        <v>2162.812692</v>
      </c>
      <c r="Y211" s="6"/>
      <c r="Z211" s="6"/>
    </row>
    <row r="212" ht="15.75" customHeight="1">
      <c r="A212" s="3" t="s">
        <v>312</v>
      </c>
      <c r="B212" s="3" t="s">
        <v>308</v>
      </c>
      <c r="C212" s="3">
        <v>55.67</v>
      </c>
      <c r="D212" s="3" t="s">
        <v>36</v>
      </c>
      <c r="E212" s="3">
        <v>23.91875</v>
      </c>
      <c r="F212" s="3">
        <v>100.0</v>
      </c>
      <c r="G212" s="3">
        <f t="shared" si="2"/>
        <v>23.91875</v>
      </c>
      <c r="H212" s="3">
        <v>47366.8164015763</v>
      </c>
      <c r="I212" s="3">
        <v>3174.72852783312</v>
      </c>
      <c r="J212" s="3">
        <v>1236.98204220237</v>
      </c>
      <c r="K212" s="3">
        <v>51778.52697161179</v>
      </c>
      <c r="L212" s="3">
        <f t="shared" si="3"/>
        <v>0.0004619434232</v>
      </c>
      <c r="M212" s="3">
        <f t="shared" si="4"/>
        <v>0.0004619434232</v>
      </c>
      <c r="N212" s="3">
        <f t="shared" si="5"/>
        <v>0.0005049684952</v>
      </c>
      <c r="O212" s="3">
        <f t="shared" si="6"/>
        <v>0.007534108756</v>
      </c>
      <c r="P212" s="3">
        <f t="shared" si="7"/>
        <v>0.0193363761</v>
      </c>
      <c r="Q212" s="3">
        <f t="shared" si="8"/>
        <v>0.0005049684952</v>
      </c>
      <c r="R212" s="3">
        <f t="shared" si="9"/>
        <v>0.007534108756</v>
      </c>
      <c r="S212" s="3">
        <f t="shared" ref="S212:T212" si="223">G212/J212</f>
        <v>0.0193363761</v>
      </c>
      <c r="T212" s="3">
        <f t="shared" si="223"/>
        <v>0.9147965223</v>
      </c>
      <c r="U212" s="3">
        <f t="shared" si="11"/>
        <v>0.06131361229</v>
      </c>
      <c r="V212" s="3">
        <f t="shared" si="12"/>
        <v>0.02388986544</v>
      </c>
      <c r="W212" s="3">
        <f t="shared" si="13"/>
        <v>2164.767263</v>
      </c>
      <c r="X212" s="3">
        <f t="shared" si="14"/>
        <v>2164.767263</v>
      </c>
      <c r="Y212" s="3"/>
      <c r="Z212" s="3"/>
    </row>
    <row r="213" ht="15.75" customHeight="1">
      <c r="A213" s="3" t="s">
        <v>313</v>
      </c>
      <c r="B213" s="3" t="s">
        <v>308</v>
      </c>
      <c r="C213" s="3">
        <v>43.94</v>
      </c>
      <c r="D213" s="3" t="s">
        <v>26</v>
      </c>
      <c r="E213" s="3">
        <v>23.6604166666667</v>
      </c>
      <c r="F213" s="3">
        <v>100.0</v>
      </c>
      <c r="G213" s="3">
        <f t="shared" si="2"/>
        <v>23.66041667</v>
      </c>
      <c r="H213" s="3">
        <v>47366.8164015763</v>
      </c>
      <c r="I213" s="3">
        <v>3174.72852783312</v>
      </c>
      <c r="J213" s="3">
        <v>1236.98204220237</v>
      </c>
      <c r="K213" s="3">
        <v>51778.52697161179</v>
      </c>
      <c r="L213" s="3">
        <f t="shared" si="3"/>
        <v>0.0004569542251</v>
      </c>
      <c r="M213" s="3">
        <f t="shared" si="4"/>
        <v>0.0004569542251</v>
      </c>
      <c r="N213" s="3">
        <f t="shared" si="5"/>
        <v>0.0004995146067</v>
      </c>
      <c r="O213" s="3">
        <f t="shared" si="6"/>
        <v>0.007452736969</v>
      </c>
      <c r="P213" s="3">
        <f t="shared" si="7"/>
        <v>0.01912753448</v>
      </c>
      <c r="Q213" s="3">
        <f t="shared" si="8"/>
        <v>0.0004995146067</v>
      </c>
      <c r="R213" s="3">
        <f t="shared" si="9"/>
        <v>0.007452736969</v>
      </c>
      <c r="S213" s="3">
        <f t="shared" ref="S213:T213" si="224">G213/J213</f>
        <v>0.01912753448</v>
      </c>
      <c r="T213" s="3">
        <f t="shared" si="224"/>
        <v>0.9147965223</v>
      </c>
      <c r="U213" s="3">
        <f t="shared" si="11"/>
        <v>0.06131361229</v>
      </c>
      <c r="V213" s="3">
        <f t="shared" si="12"/>
        <v>0.02388986544</v>
      </c>
      <c r="W213" s="3">
        <f t="shared" si="13"/>
        <v>2188.403007</v>
      </c>
      <c r="X213" s="3">
        <f t="shared" si="14"/>
        <v>2188.403007</v>
      </c>
      <c r="Y213" s="3"/>
      <c r="Z213" s="3"/>
    </row>
    <row r="214" ht="15.75" customHeight="1">
      <c r="A214" s="3" t="s">
        <v>314</v>
      </c>
      <c r="B214" s="3" t="s">
        <v>223</v>
      </c>
      <c r="C214" s="3">
        <v>47.05</v>
      </c>
      <c r="D214" s="3" t="s">
        <v>96</v>
      </c>
      <c r="E214" s="3">
        <v>7.2</v>
      </c>
      <c r="F214" s="3">
        <v>37.0</v>
      </c>
      <c r="G214" s="3">
        <f t="shared" si="2"/>
        <v>2.664</v>
      </c>
      <c r="H214" s="3">
        <v>6366.39415492142</v>
      </c>
      <c r="I214" s="3">
        <v>241.74917236811</v>
      </c>
      <c r="J214" s="3">
        <v>199.149452218639</v>
      </c>
      <c r="K214" s="3">
        <v>6807.292779508169</v>
      </c>
      <c r="L214" s="3">
        <f t="shared" si="3"/>
        <v>0.001057689192</v>
      </c>
      <c r="M214" s="3">
        <f t="shared" si="4"/>
        <v>0.0003913450011</v>
      </c>
      <c r="N214" s="3">
        <f t="shared" si="5"/>
        <v>0.00113093846</v>
      </c>
      <c r="O214" s="3">
        <f t="shared" si="6"/>
        <v>0.02978293547</v>
      </c>
      <c r="P214" s="3">
        <f t="shared" si="7"/>
        <v>0.03615375247</v>
      </c>
      <c r="Q214" s="3">
        <f t="shared" si="8"/>
        <v>0.0004184472301</v>
      </c>
      <c r="R214" s="3">
        <f t="shared" si="9"/>
        <v>0.01101968612</v>
      </c>
      <c r="S214" s="3">
        <f t="shared" ref="S214:T214" si="225">G214/J214</f>
        <v>0.01337688841</v>
      </c>
      <c r="T214" s="3">
        <f t="shared" si="225"/>
        <v>0.9352314292</v>
      </c>
      <c r="U214" s="3">
        <f t="shared" si="11"/>
        <v>0.03551326206</v>
      </c>
      <c r="V214" s="3">
        <f t="shared" si="12"/>
        <v>0.02925530878</v>
      </c>
      <c r="W214" s="3">
        <f t="shared" si="13"/>
        <v>945.4573305</v>
      </c>
      <c r="X214" s="3">
        <f t="shared" si="14"/>
        <v>2555.290082</v>
      </c>
      <c r="Y214" s="3"/>
      <c r="Z214" s="3"/>
    </row>
    <row r="215" ht="15.75" customHeight="1">
      <c r="A215" s="3" t="s">
        <v>315</v>
      </c>
      <c r="B215" s="3" t="s">
        <v>276</v>
      </c>
      <c r="C215" s="3">
        <v>44.71</v>
      </c>
      <c r="D215" s="3" t="s">
        <v>71</v>
      </c>
      <c r="E215" s="3">
        <v>6.9027</v>
      </c>
      <c r="F215" s="3">
        <v>45.0</v>
      </c>
      <c r="G215" s="3">
        <f t="shared" si="2"/>
        <v>3.106215</v>
      </c>
      <c r="H215" s="3">
        <v>4631.83475361244</v>
      </c>
      <c r="I215" s="3">
        <v>1907.98434898715</v>
      </c>
      <c r="J215" s="3">
        <v>1507.44052150399</v>
      </c>
      <c r="K215" s="3">
        <v>8047.259624103581</v>
      </c>
      <c r="L215" s="3">
        <f t="shared" si="3"/>
        <v>0.0008577702625</v>
      </c>
      <c r="M215" s="3">
        <f t="shared" si="4"/>
        <v>0.0003859966181</v>
      </c>
      <c r="N215" s="3">
        <f t="shared" si="5"/>
        <v>0.001490273373</v>
      </c>
      <c r="O215" s="3">
        <f t="shared" si="6"/>
        <v>0.003617796972</v>
      </c>
      <c r="P215" s="3">
        <f t="shared" si="7"/>
        <v>0.004579086141</v>
      </c>
      <c r="Q215" s="3">
        <f t="shared" si="8"/>
        <v>0.0006706230177</v>
      </c>
      <c r="R215" s="3">
        <f t="shared" si="9"/>
        <v>0.001628008637</v>
      </c>
      <c r="S215" s="3">
        <f t="shared" ref="S215:T215" si="226">G215/J215</f>
        <v>0.002060588763</v>
      </c>
      <c r="T215" s="3">
        <f t="shared" si="226"/>
        <v>0.5755791375</v>
      </c>
      <c r="U215" s="3">
        <f t="shared" si="11"/>
        <v>0.2370974019</v>
      </c>
      <c r="V215" s="3">
        <f t="shared" si="12"/>
        <v>0.1873234606</v>
      </c>
      <c r="W215" s="3">
        <f t="shared" si="13"/>
        <v>1165.813323</v>
      </c>
      <c r="X215" s="3">
        <f t="shared" si="14"/>
        <v>2590.696273</v>
      </c>
      <c r="Y215" s="3"/>
      <c r="Z215" s="3"/>
    </row>
    <row r="216" ht="15.75" customHeight="1">
      <c r="A216" s="3" t="s">
        <v>316</v>
      </c>
      <c r="B216" s="3" t="s">
        <v>308</v>
      </c>
      <c r="C216" s="3">
        <v>57.23</v>
      </c>
      <c r="D216" s="3" t="s">
        <v>36</v>
      </c>
      <c r="E216" s="3">
        <v>19.2520833333333</v>
      </c>
      <c r="F216" s="3">
        <v>100.0</v>
      </c>
      <c r="G216" s="3">
        <f t="shared" si="2"/>
        <v>19.25208333</v>
      </c>
      <c r="H216" s="3">
        <v>47366.8164015763</v>
      </c>
      <c r="I216" s="3">
        <v>3174.72852783312</v>
      </c>
      <c r="J216" s="3">
        <v>1236.98204220237</v>
      </c>
      <c r="K216" s="3">
        <v>51778.52697161179</v>
      </c>
      <c r="L216" s="3">
        <f t="shared" si="3"/>
        <v>0.000371815972</v>
      </c>
      <c r="M216" s="3">
        <f t="shared" si="4"/>
        <v>0.000371815972</v>
      </c>
      <c r="N216" s="3">
        <f t="shared" si="5"/>
        <v>0.0004064466391</v>
      </c>
      <c r="O216" s="3">
        <f t="shared" si="6"/>
        <v>0.006064166799</v>
      </c>
      <c r="P216" s="3">
        <f t="shared" si="7"/>
        <v>0.01556375329</v>
      </c>
      <c r="Q216" s="3">
        <f t="shared" si="8"/>
        <v>0.0004064466391</v>
      </c>
      <c r="R216" s="3">
        <f t="shared" si="9"/>
        <v>0.006064166799</v>
      </c>
      <c r="S216" s="3">
        <f t="shared" ref="S216:T216" si="227">G216/J216</f>
        <v>0.01556375329</v>
      </c>
      <c r="T216" s="3">
        <f t="shared" si="227"/>
        <v>0.9147965223</v>
      </c>
      <c r="U216" s="3">
        <f t="shared" si="11"/>
        <v>0.06131361229</v>
      </c>
      <c r="V216" s="3">
        <f t="shared" si="12"/>
        <v>0.02388986544</v>
      </c>
      <c r="W216" s="3">
        <f t="shared" si="13"/>
        <v>2689.502537</v>
      </c>
      <c r="X216" s="3">
        <f t="shared" si="14"/>
        <v>2689.502537</v>
      </c>
      <c r="Y216" s="3"/>
      <c r="Z216" s="3"/>
    </row>
    <row r="217" ht="15.75" customHeight="1">
      <c r="A217" s="3" t="s">
        <v>317</v>
      </c>
      <c r="B217" s="3" t="s">
        <v>308</v>
      </c>
      <c r="C217" s="3">
        <v>55.58</v>
      </c>
      <c r="D217" s="3" t="s">
        <v>36</v>
      </c>
      <c r="E217" s="3">
        <v>17.9583333333333</v>
      </c>
      <c r="F217" s="3">
        <v>100.0</v>
      </c>
      <c r="G217" s="3">
        <f t="shared" si="2"/>
        <v>17.95833333</v>
      </c>
      <c r="H217" s="3">
        <v>47366.8164015763</v>
      </c>
      <c r="I217" s="3">
        <v>3174.72852783312</v>
      </c>
      <c r="J217" s="3">
        <v>1236.98204220237</v>
      </c>
      <c r="K217" s="3">
        <v>51778.52697161179</v>
      </c>
      <c r="L217" s="3">
        <f t="shared" si="3"/>
        <v>0.0003468297455</v>
      </c>
      <c r="M217" s="3">
        <f t="shared" si="4"/>
        <v>0.0003468297455</v>
      </c>
      <c r="N217" s="3">
        <f t="shared" si="5"/>
        <v>0.0003791332139</v>
      </c>
      <c r="O217" s="3">
        <f t="shared" si="6"/>
        <v>0.00565665164</v>
      </c>
      <c r="P217" s="3">
        <f t="shared" si="7"/>
        <v>0.01451786099</v>
      </c>
      <c r="Q217" s="3">
        <f t="shared" si="8"/>
        <v>0.0003791332139</v>
      </c>
      <c r="R217" s="3">
        <f t="shared" si="9"/>
        <v>0.00565665164</v>
      </c>
      <c r="S217" s="3">
        <f t="shared" ref="S217:T217" si="228">G217/J217</f>
        <v>0.01451786099</v>
      </c>
      <c r="T217" s="3">
        <f t="shared" si="228"/>
        <v>0.9147965223</v>
      </c>
      <c r="U217" s="3">
        <f t="shared" si="11"/>
        <v>0.06131361229</v>
      </c>
      <c r="V217" s="3">
        <f t="shared" si="12"/>
        <v>0.02388986544</v>
      </c>
      <c r="W217" s="3">
        <f t="shared" si="13"/>
        <v>2883.259043</v>
      </c>
      <c r="X217" s="3">
        <f t="shared" si="14"/>
        <v>2883.259043</v>
      </c>
      <c r="Y217" s="3"/>
      <c r="Z217" s="3"/>
    </row>
    <row r="218" ht="15.75" customHeight="1">
      <c r="A218" s="3" t="s">
        <v>318</v>
      </c>
      <c r="B218" s="3" t="s">
        <v>319</v>
      </c>
      <c r="C218" s="3">
        <v>31.5</v>
      </c>
      <c r="D218" s="3" t="s">
        <v>50</v>
      </c>
      <c r="E218" s="3">
        <v>10.18125</v>
      </c>
      <c r="F218" s="3">
        <v>60.0</v>
      </c>
      <c r="G218" s="3">
        <f t="shared" si="2"/>
        <v>6.10875</v>
      </c>
      <c r="H218" s="3">
        <v>19744.6686693739</v>
      </c>
      <c r="I218" s="3">
        <v>3.97225408341801</v>
      </c>
      <c r="J218" s="3">
        <v>179.155148551686</v>
      </c>
      <c r="K218" s="3">
        <v>19927.79607200901</v>
      </c>
      <c r="L218" s="3">
        <f t="shared" si="3"/>
        <v>0.0005109069745</v>
      </c>
      <c r="M218" s="3">
        <f t="shared" si="4"/>
        <v>0.0003065441847</v>
      </c>
      <c r="N218" s="3">
        <f t="shared" si="5"/>
        <v>0.0005156455229</v>
      </c>
      <c r="O218" s="3">
        <f t="shared" si="6"/>
        <v>2.56309133</v>
      </c>
      <c r="P218" s="3">
        <f t="shared" si="7"/>
        <v>0.05682923479</v>
      </c>
      <c r="Q218" s="3">
        <f t="shared" si="8"/>
        <v>0.0003093873137</v>
      </c>
      <c r="R218" s="3">
        <f t="shared" si="9"/>
        <v>1.537854798</v>
      </c>
      <c r="S218" s="3">
        <f t="shared" ref="S218:T218" si="229">G218/J218</f>
        <v>0.03409754087</v>
      </c>
      <c r="T218" s="3">
        <f t="shared" si="229"/>
        <v>0.9908104538</v>
      </c>
      <c r="U218" s="3">
        <f t="shared" si="11"/>
        <v>0.000199332333</v>
      </c>
      <c r="V218" s="3">
        <f t="shared" si="12"/>
        <v>0.008990213865</v>
      </c>
      <c r="W218" s="3">
        <f t="shared" si="13"/>
        <v>1957.303482</v>
      </c>
      <c r="X218" s="3">
        <f t="shared" si="14"/>
        <v>3262.172469</v>
      </c>
      <c r="Y218" s="3"/>
      <c r="Z218" s="3"/>
    </row>
    <row r="219" ht="15.75" customHeight="1">
      <c r="A219" s="3" t="s">
        <v>320</v>
      </c>
      <c r="B219" s="3" t="s">
        <v>294</v>
      </c>
      <c r="C219" s="3">
        <v>48.71</v>
      </c>
      <c r="D219" s="3" t="s">
        <v>71</v>
      </c>
      <c r="E219" s="3">
        <v>8.07252173913043</v>
      </c>
      <c r="F219" s="3">
        <v>45.0</v>
      </c>
      <c r="G219" s="3">
        <f t="shared" si="2"/>
        <v>3.632634783</v>
      </c>
      <c r="H219" s="3">
        <v>14853.2223652301</v>
      </c>
      <c r="I219" s="3">
        <v>40.9916567160165</v>
      </c>
      <c r="J219" s="3">
        <v>631.794759444433</v>
      </c>
      <c r="K219" s="3">
        <v>15526.00878139055</v>
      </c>
      <c r="L219" s="3">
        <f t="shared" si="3"/>
        <v>0.0005199354099</v>
      </c>
      <c r="M219" s="3">
        <f t="shared" si="4"/>
        <v>0.0002339709344</v>
      </c>
      <c r="N219" s="3">
        <f t="shared" si="5"/>
        <v>0.0005434862241</v>
      </c>
      <c r="O219" s="3">
        <f t="shared" si="6"/>
        <v>0.1969308485</v>
      </c>
      <c r="P219" s="3">
        <f t="shared" si="7"/>
        <v>0.01277712678</v>
      </c>
      <c r="Q219" s="3">
        <f t="shared" si="8"/>
        <v>0.0002445688008</v>
      </c>
      <c r="R219" s="3">
        <f t="shared" si="9"/>
        <v>0.08861888183</v>
      </c>
      <c r="S219" s="3">
        <f t="shared" ref="S219:T219" si="230">G219/J219</f>
        <v>0.00574970705</v>
      </c>
      <c r="T219" s="3">
        <f t="shared" si="230"/>
        <v>0.9566671367</v>
      </c>
      <c r="U219" s="3">
        <f t="shared" si="11"/>
        <v>0.002640192808</v>
      </c>
      <c r="V219" s="3">
        <f t="shared" si="12"/>
        <v>0.0406926705</v>
      </c>
      <c r="W219" s="3">
        <f t="shared" si="13"/>
        <v>1923.315822</v>
      </c>
      <c r="X219" s="3">
        <f t="shared" si="14"/>
        <v>4274.035159</v>
      </c>
      <c r="Y219" s="3"/>
      <c r="Z219" s="3"/>
    </row>
    <row r="220" ht="15.75" customHeight="1">
      <c r="A220" s="3" t="s">
        <v>321</v>
      </c>
      <c r="B220" s="3" t="s">
        <v>308</v>
      </c>
      <c r="C220" s="3">
        <v>48.38</v>
      </c>
      <c r="D220" s="3" t="s">
        <v>71</v>
      </c>
      <c r="E220" s="3">
        <v>10.1041996618907</v>
      </c>
      <c r="F220" s="3">
        <v>45.0</v>
      </c>
      <c r="G220" s="3">
        <f t="shared" si="2"/>
        <v>4.546889848</v>
      </c>
      <c r="H220" s="3">
        <v>47366.8164015763</v>
      </c>
      <c r="I220" s="3">
        <v>3174.72852783312</v>
      </c>
      <c r="J220" s="3">
        <v>1236.98204220237</v>
      </c>
      <c r="K220" s="3">
        <v>51778.52697161179</v>
      </c>
      <c r="L220" s="3">
        <f t="shared" si="3"/>
        <v>0.0001951426634</v>
      </c>
      <c r="M220" s="3">
        <f t="shared" si="4"/>
        <v>0.00008781419854</v>
      </c>
      <c r="N220" s="3">
        <f t="shared" si="5"/>
        <v>0.0002133181081</v>
      </c>
      <c r="O220" s="3">
        <f t="shared" si="6"/>
        <v>0.003182697221</v>
      </c>
      <c r="P220" s="3">
        <f t="shared" si="7"/>
        <v>0.008168428738</v>
      </c>
      <c r="Q220" s="3">
        <f t="shared" si="8"/>
        <v>0.00009599314865</v>
      </c>
      <c r="R220" s="3">
        <f t="shared" si="9"/>
        <v>0.001432213749</v>
      </c>
      <c r="S220" s="3">
        <f t="shared" ref="S220:T220" si="231">G220/J220</f>
        <v>0.003675792932</v>
      </c>
      <c r="T220" s="3">
        <f t="shared" si="231"/>
        <v>0.9147965223</v>
      </c>
      <c r="U220" s="3">
        <f t="shared" si="11"/>
        <v>0.06131361229</v>
      </c>
      <c r="V220" s="3">
        <f t="shared" si="12"/>
        <v>0.02388986544</v>
      </c>
      <c r="W220" s="3">
        <f t="shared" si="13"/>
        <v>5124.456039</v>
      </c>
      <c r="X220" s="3">
        <f t="shared" si="14"/>
        <v>11387.68009</v>
      </c>
      <c r="Y220" s="3"/>
      <c r="Z220" s="3"/>
    </row>
    <row r="221" ht="15.75" customHeight="1"/>
    <row r="222" ht="15.75" customHeight="1"/>
    <row r="223" ht="15.75" customHeight="1">
      <c r="A223" s="3"/>
      <c r="B223" s="7" t="s">
        <v>322</v>
      </c>
    </row>
    <row r="224" ht="15.75" customHeight="1">
      <c r="A224" s="4"/>
      <c r="B224" s="7" t="s">
        <v>323</v>
      </c>
    </row>
    <row r="225" ht="15.75" customHeight="1">
      <c r="A225" s="6"/>
      <c r="B225" s="7" t="s">
        <v>324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22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2026-03-09T20:11:08Z</dcterms:created>
  <dc:creator>openpyxl</dc:creator>
</cp:coreProperties>
</file>